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taset" sheetId="2" state="visible" r:id="rId2"/>
    <sheet xmlns:r="http://schemas.openxmlformats.org/officeDocument/2006/relationships" name="Data Cleaning" sheetId="3" state="visible" r:id="rId3"/>
    <sheet xmlns:r="http://schemas.openxmlformats.org/officeDocument/2006/relationships" name="Analysis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Data Dictionary" sheetId="6" state="visible" r:id="rId6"/>
  </sheets>
  <definedNames>
    <definedName name="_xlnm._FilterDatabase" localSheetId="1" hidden="1">'Dataset'!$A$4:$M$124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0.0%"/>
  </numFmts>
  <fonts count="13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595959"/>
      <sz val="10"/>
    </font>
    <font>
      <b val="1"/>
      <color rgb="00FFFFFF"/>
    </font>
    <font>
      <b val="1"/>
      <color rgb="0017365D"/>
      <sz val="11"/>
    </font>
    <font>
      <b val="1"/>
      <color rgb="0070AD47"/>
    </font>
    <font>
      <b val="1"/>
      <color rgb="00ED7D31"/>
    </font>
    <font>
      <b val="1"/>
      <color rgb="0017365D"/>
    </font>
    <font>
      <b val="1"/>
      <sz val="12"/>
    </font>
    <font>
      <b val="1"/>
      <color rgb="00FFFFFF"/>
      <sz val="14"/>
    </font>
    <font>
      <b val="1"/>
      <color rgb="00FFFFFF"/>
      <sz val="10"/>
    </font>
    <font>
      <b val="1"/>
      <color rgb="0017365D"/>
      <sz val="18"/>
    </font>
    <font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D9EAF7"/>
      </patternFill>
    </fill>
    <fill>
      <patternFill patternType="solid">
        <fgColor rgb="00EAF2F8"/>
      </patternFill>
    </fill>
  </fills>
  <borders count="5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  <border>
      <left/>
      <right/>
      <top style="thin">
        <color rgb="00D9E1F2"/>
      </top>
      <bottom/>
      <diagonal/>
    </border>
    <border>
      <left/>
      <right style="thin">
        <color rgb="00D9E1F2"/>
      </right>
      <top style="thin">
        <color rgb="00D9E1F2"/>
      </top>
      <bottom/>
      <diagonal/>
    </border>
    <border>
      <left/>
      <right style="thin">
        <color rgb="00D9E1F2"/>
      </right>
      <top style="thin">
        <color rgb="00D9E1F2"/>
      </top>
      <bottom style="thin">
        <color rgb="00D9E1F2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wrapText="1"/>
    </xf>
    <xf numFmtId="0" fontId="4" fillId="4" borderId="1" pivotButton="0" quotePrefix="0" xfId="0"/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7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4" borderId="1" pivotButton="0" quotePrefix="0" xfId="0"/>
    <xf numFmtId="0" fontId="8" fillId="0" borderId="1" pivotButton="0" quotePrefix="0" xfId="0"/>
    <xf numFmtId="166" fontId="8" fillId="0" borderId="1" pivotButton="0" quotePrefix="0" xfId="0"/>
    <xf numFmtId="2" fontId="8" fillId="0" borderId="1" pivotButton="0" quotePrefix="0" xfId="0"/>
    <xf numFmtId="166" fontId="0" fillId="0" borderId="1" applyAlignment="1" pivotButton="0" quotePrefix="0" xfId="0">
      <alignment vertical="center"/>
    </xf>
    <xf numFmtId="0" fontId="0" fillId="0" borderId="1" pivotButton="0" quotePrefix="0" xfId="0"/>
    <xf numFmtId="166" fontId="0" fillId="0" borderId="1" pivotButton="0" quotePrefix="0" xfId="0"/>
    <xf numFmtId="2" fontId="0" fillId="0" borderId="1" pivotButton="0" quotePrefix="0" xfId="0"/>
    <xf numFmtId="0" fontId="9" fillId="2" borderId="0" pivotButton="0" quotePrefix="0" xfId="0"/>
    <xf numFmtId="0" fontId="3" fillId="2" borderId="0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10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166" fontId="0" fillId="0" borderId="4" pivotButton="0" quotePrefix="0" xfId="0"/>
    <xf numFmtId="2" fontId="0" fillId="0" borderId="4" pivotButton="0" quotePrefix="0" xfId="0"/>
    <xf numFmtId="1" fontId="0" fillId="0" borderId="4" pivotButton="0" quotePrefix="0" xfId="0"/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Applications by State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'Analysis'!$A$16:$A$25</f>
            </numRef>
          </cat>
          <val>
            <numRef>
              <f>'Analysis'!$B$16:$B$25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Applications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Approval Rate by State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'Analysis'!D15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'Analysis'!$A$16:$A$25</f>
            </numRef>
          </cat>
          <val>
            <numRef>
              <f>'Analysis'!$D$16:$D$25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Approval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Applications by Service Category</a:t>
            </a:r>
          </a:p>
        </rich>
      </tx>
    </title>
    <plotArea>
      <pieChart>
        <varyColors val="1"/>
        <ser>
          <idx val="0"/>
          <order val="0"/>
          <tx>
            <strRef>
              <f>'Analysis'!B28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'Analysis'!$A$29:$A$34</f>
            </numRef>
          </cat>
          <val>
            <numRef>
              <f>'Analysis'!$B$29:$B$34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Processing Days by Service Category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'Analysis'!E28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'Analysis'!$A$29:$A$34</f>
            </numRef>
          </cat>
          <val>
            <numRef>
              <f>'Analysis'!$E$29:$E$34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11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26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26</row>
      <rowOff>0</rowOff>
    </from>
    <ext cx="432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govDataset" displayName="EgovDataset" ref="A4:M124" headerRowCount="1">
  <autoFilter ref="A4:M124"/>
  <tableColumns count="13">
    <tableColumn id="1" name="Record ID"/>
    <tableColumn id="2" name="Month"/>
    <tableColumn id="3" name="State"/>
    <tableColumn id="4" name="Service Category"/>
    <tableColumn id="5" name="Service"/>
    <tableColumn id="6" name="Applications Received"/>
    <tableColumn id="7" name="Applications Approved"/>
    <tableColumn id="8" name="Applications Rejected"/>
    <tableColumn id="9" name="Avg Processing Days"/>
    <tableColumn id="10" name="Digital Applications (%)"/>
    <tableColumn id="11" name="Satisfaction Score (1-5)"/>
    <tableColumn id="12" name="Complaints"/>
    <tableColumn id="13" name="Complaint Resolution (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4" customHeight="1">
      <c r="A1" s="1" t="inlineStr">
        <is>
          <t>Week 1 — Data Literacy &amp; Analysis Techniques in E-Governance</t>
        </is>
      </c>
    </row>
    <row r="2" ht="30" customHeight="1">
      <c r="A2" s="2" t="inlineStr">
        <is>
          <t>Excel analysis workbook prepared as a supporting project file for the Yuva internship task.</t>
        </is>
      </c>
    </row>
    <row r="4" ht="42" customHeight="1">
      <c r="A4" s="3" t="inlineStr">
        <is>
          <t>Project Objective</t>
        </is>
      </c>
      <c r="B4" s="4" t="inlineStr">
        <is>
          <t>Demonstrate data literacy, data cleaning, descriptive statistics, and practical analysis techniques in the context of digital government services.</t>
        </is>
      </c>
    </row>
    <row r="5" ht="42" customHeight="1">
      <c r="A5" s="3" t="inlineStr">
        <is>
          <t>Dataset</t>
        </is>
      </c>
      <c r="B5" s="4" t="inlineStr">
        <is>
          <t>120 synthetic monthly service records covering 10 Indian states and 6 common e-governance service types. The dataset is clearly marked as synthetic and is suitable for learning/practice.</t>
        </is>
      </c>
    </row>
    <row r="6" ht="42" customHeight="1">
      <c r="A6" s="3" t="inlineStr">
        <is>
          <t>Workbook Structure</t>
        </is>
      </c>
      <c r="B6" s="4" t="inlineStr">
        <is>
          <t>Dataset → Data Cleaning → Analysis → Dashboard → Data Dictionary.</t>
        </is>
      </c>
    </row>
    <row r="7" ht="42" customHeight="1">
      <c r="A7" s="3" t="inlineStr">
        <is>
          <t>Key Metrics</t>
        </is>
      </c>
      <c r="B7" s="4" t="inlineStr">
        <is>
          <t>Applications received, approval rate, rejection rate, average processing time, digital adoption, satisfaction, complaints, and complaint resolution.</t>
        </is>
      </c>
    </row>
    <row r="8" ht="42" customHeight="1">
      <c r="A8" s="3" t="inlineStr">
        <is>
          <t>Dashboard</t>
        </is>
      </c>
      <c r="B8" s="4" t="inlineStr">
        <is>
          <t>A management-style dashboard summarises overall service performance and includes state/category selectors, KPI cards, charts, and key findings.</t>
        </is>
      </c>
    </row>
    <row r="9" ht="42" customHeight="1">
      <c r="A9" s="3" t="inlineStr">
        <is>
          <t>How to Use</t>
        </is>
      </c>
      <c r="B9" s="4" t="inlineStr">
        <is>
          <t>Start with the Dataset sheet, review the cleaning log, then open Analysis and Dashboard. Filters can be used on the dataset table for deeper inspection.</t>
        </is>
      </c>
    </row>
    <row r="10" ht="42" customHeight="1">
      <c r="A10" s="3" t="inlineStr">
        <is>
          <t>Submission Note</t>
        </is>
      </c>
      <c r="B10" s="4" t="inlineStr">
        <is>
          <t>The internship portal screenshot indicates that the formal report is expected as a DOC/DOCX file. This Excel workbook is best used as the supporting analysis/project file if the portal or GitHub field allows it.</t>
        </is>
      </c>
    </row>
  </sheetData>
  <mergeCells count="9">
    <mergeCell ref="B10:G10"/>
    <mergeCell ref="A1:G1"/>
    <mergeCell ref="B5:G5"/>
    <mergeCell ref="B9:G9"/>
    <mergeCell ref="B8:G8"/>
    <mergeCell ref="B4:G4"/>
    <mergeCell ref="A2:G2"/>
    <mergeCell ref="B7:G7"/>
    <mergeCell ref="B6:G6"/>
  </mergeCell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20" customWidth="1" min="4" max="4"/>
    <col width="24" customWidth="1" min="5" max="5"/>
    <col width="22" customWidth="1" min="6" max="6"/>
    <col width="23" customWidth="1" min="7" max="7"/>
    <col width="22" customWidth="1" min="8" max="8"/>
    <col width="20" customWidth="1" min="9" max="9"/>
    <col width="22" customWidth="1" min="10" max="10"/>
    <col width="25" customWidth="1" min="11" max="11"/>
    <col width="14" customWidth="1" min="12" max="12"/>
    <col width="22" customWidth="1" min="13" max="13"/>
  </cols>
  <sheetData>
    <row r="1" ht="34" customHeight="1">
      <c r="A1" s="1" t="inlineStr">
        <is>
          <t>E-Governance Service Dataset</t>
        </is>
      </c>
    </row>
    <row r="2" ht="30" customHeight="1">
      <c r="A2" s="2" t="inlineStr">
        <is>
          <t>Synthetic practice dataset created for the Week 1 Data Literacy &amp; Analysis assignment. It is intended for analysis practice and is not official government data.</t>
        </is>
      </c>
    </row>
    <row r="4">
      <c r="A4" s="5" t="inlineStr">
        <is>
          <t>Record ID</t>
        </is>
      </c>
      <c r="B4" s="5" t="inlineStr">
        <is>
          <t>Month</t>
        </is>
      </c>
      <c r="C4" s="5" t="inlineStr">
        <is>
          <t>State</t>
        </is>
      </c>
      <c r="D4" s="5" t="inlineStr">
        <is>
          <t>Service Category</t>
        </is>
      </c>
      <c r="E4" s="5" t="inlineStr">
        <is>
          <t>Service</t>
        </is>
      </c>
      <c r="F4" s="5" t="inlineStr">
        <is>
          <t>Applications Received</t>
        </is>
      </c>
      <c r="G4" s="5" t="inlineStr">
        <is>
          <t>Applications Approved</t>
        </is>
      </c>
      <c r="H4" s="5" t="inlineStr">
        <is>
          <t>Applications Rejected</t>
        </is>
      </c>
      <c r="I4" s="5" t="inlineStr">
        <is>
          <t>Avg Processing Days</t>
        </is>
      </c>
      <c r="J4" s="5" t="inlineStr">
        <is>
          <t>Digital Applications (%)</t>
        </is>
      </c>
      <c r="K4" s="5" t="inlineStr">
        <is>
          <t>Satisfaction Score (1-5)</t>
        </is>
      </c>
      <c r="L4" s="5" t="inlineStr">
        <is>
          <t>Complaints</t>
        </is>
      </c>
      <c r="M4" s="5" t="inlineStr">
        <is>
          <t>Complaint Resolution (%)</t>
        </is>
      </c>
    </row>
    <row r="5">
      <c r="A5" s="6" t="inlineStr">
        <is>
          <t>EG-0001</t>
        </is>
      </c>
      <c r="B5" s="7" t="n">
        <v>46023</v>
      </c>
      <c r="C5" s="6" t="inlineStr">
        <is>
          <t>Maharashtra</t>
        </is>
      </c>
      <c r="D5" s="6" t="inlineStr">
        <is>
          <t>Certificates</t>
        </is>
      </c>
      <c r="E5" s="6" t="inlineStr">
        <is>
          <t>Birth Certificate</t>
        </is>
      </c>
      <c r="F5" s="6" t="n">
        <v>1407</v>
      </c>
      <c r="G5" s="6" t="n">
        <v>1103</v>
      </c>
      <c r="H5" s="6" t="n">
        <v>304</v>
      </c>
      <c r="I5" s="8" t="n">
        <v>3.9</v>
      </c>
      <c r="J5" s="8" t="n">
        <v>80.59999999999999</v>
      </c>
      <c r="K5" s="9" t="n">
        <v>4.66</v>
      </c>
      <c r="L5" s="6" t="n">
        <v>38</v>
      </c>
      <c r="M5" s="8" t="n">
        <v>91.7</v>
      </c>
    </row>
    <row r="6">
      <c r="A6" s="6" t="inlineStr">
        <is>
          <t>EG-0002</t>
        </is>
      </c>
      <c r="B6" s="7" t="n">
        <v>46054</v>
      </c>
      <c r="C6" s="6" t="inlineStr">
        <is>
          <t>Maharashtra</t>
        </is>
      </c>
      <c r="D6" s="6" t="inlineStr">
        <is>
          <t>Certificates</t>
        </is>
      </c>
      <c r="E6" s="6" t="inlineStr">
        <is>
          <t>Income Certificate</t>
        </is>
      </c>
      <c r="F6" s="6" t="n">
        <v>2263</v>
      </c>
      <c r="G6" s="6" t="n">
        <v>1776</v>
      </c>
      <c r="H6" s="6" t="n">
        <v>487</v>
      </c>
      <c r="I6" s="8" t="n">
        <v>2.9</v>
      </c>
      <c r="J6" s="8" t="n">
        <v>77.40000000000001</v>
      </c>
      <c r="K6" s="9" t="n">
        <v>4.15</v>
      </c>
      <c r="L6" s="6" t="n">
        <v>56</v>
      </c>
      <c r="M6" s="8" t="n">
        <v>96.7</v>
      </c>
    </row>
    <row r="7">
      <c r="A7" s="6" t="inlineStr">
        <is>
          <t>EG-0003</t>
        </is>
      </c>
      <c r="B7" s="7" t="n">
        <v>46082</v>
      </c>
      <c r="C7" s="6" t="inlineStr">
        <is>
          <t>Maharashtra</t>
        </is>
      </c>
      <c r="D7" s="6" t="inlineStr">
        <is>
          <t>Licenses</t>
        </is>
      </c>
      <c r="E7" s="6" t="inlineStr">
        <is>
          <t>Trade License</t>
        </is>
      </c>
      <c r="F7" s="6" t="n">
        <v>2612</v>
      </c>
      <c r="G7" s="6" t="n">
        <v>2212</v>
      </c>
      <c r="H7" s="6" t="n">
        <v>400</v>
      </c>
      <c r="I7" s="8" t="n">
        <v>5.5</v>
      </c>
      <c r="J7" s="8" t="n">
        <v>76.90000000000001</v>
      </c>
      <c r="K7" s="9" t="n">
        <v>4.76</v>
      </c>
      <c r="L7" s="6" t="n">
        <v>76</v>
      </c>
      <c r="M7" s="8" t="n">
        <v>92.8</v>
      </c>
    </row>
    <row r="8">
      <c r="A8" s="6" t="inlineStr">
        <is>
          <t>EG-0004</t>
        </is>
      </c>
      <c r="B8" s="7" t="n">
        <v>46113</v>
      </c>
      <c r="C8" s="6" t="inlineStr">
        <is>
          <t>Maharashtra</t>
        </is>
      </c>
      <c r="D8" s="6" t="inlineStr">
        <is>
          <t>Welfare</t>
        </is>
      </c>
      <c r="E8" s="6" t="inlineStr">
        <is>
          <t>Scholarship Application</t>
        </is>
      </c>
      <c r="F8" s="6" t="n">
        <v>1884</v>
      </c>
      <c r="G8" s="6" t="n">
        <v>1516</v>
      </c>
      <c r="H8" s="6" t="n">
        <v>368</v>
      </c>
      <c r="I8" s="8" t="n">
        <v>7.6</v>
      </c>
      <c r="J8" s="8" t="n">
        <v>84.3</v>
      </c>
      <c r="K8" s="9" t="n">
        <v>3.81</v>
      </c>
      <c r="L8" s="6" t="n">
        <v>26</v>
      </c>
      <c r="M8" s="8" t="n">
        <v>91.90000000000001</v>
      </c>
    </row>
    <row r="9">
      <c r="A9" s="6" t="inlineStr">
        <is>
          <t>EG-0005</t>
        </is>
      </c>
      <c r="B9" s="7" t="n">
        <v>46143</v>
      </c>
      <c r="C9" s="6" t="inlineStr">
        <is>
          <t>Maharashtra</t>
        </is>
      </c>
      <c r="D9" s="6" t="inlineStr">
        <is>
          <t>Welfare</t>
        </is>
      </c>
      <c r="E9" s="6" t="inlineStr">
        <is>
          <t>Pension Application</t>
        </is>
      </c>
      <c r="F9" s="6" t="n">
        <v>2001</v>
      </c>
      <c r="G9" s="6" t="n">
        <v>1754</v>
      </c>
      <c r="H9" s="6" t="n">
        <v>247</v>
      </c>
      <c r="I9" s="8" t="n">
        <v>6.8</v>
      </c>
      <c r="J9" s="8" t="n">
        <v>78.09999999999999</v>
      </c>
      <c r="K9" s="9" t="n">
        <v>3.53</v>
      </c>
      <c r="L9" s="6" t="n">
        <v>68</v>
      </c>
      <c r="M9" s="8" t="n">
        <v>85.40000000000001</v>
      </c>
    </row>
    <row r="10">
      <c r="A10" s="6" t="inlineStr">
        <is>
          <t>EG-0006</t>
        </is>
      </c>
      <c r="B10" s="7" t="n">
        <v>46174</v>
      </c>
      <c r="C10" s="6" t="inlineStr">
        <is>
          <t>Maharashtra</t>
        </is>
      </c>
      <c r="D10" s="6" t="inlineStr">
        <is>
          <t>Citizen Services</t>
        </is>
      </c>
      <c r="E10" s="6" t="inlineStr">
        <is>
          <t>Property Tax</t>
        </is>
      </c>
      <c r="F10" s="6" t="n">
        <v>2624</v>
      </c>
      <c r="G10" s="6" t="n">
        <v>2306</v>
      </c>
      <c r="H10" s="6" t="n">
        <v>318</v>
      </c>
      <c r="I10" s="8" t="n">
        <v>7.1</v>
      </c>
      <c r="J10" s="8" t="n">
        <v>84.3</v>
      </c>
      <c r="K10" s="9" t="n">
        <v>3.45</v>
      </c>
      <c r="L10" s="6" t="n">
        <v>34</v>
      </c>
      <c r="M10" s="8" t="n">
        <v>86.40000000000001</v>
      </c>
    </row>
    <row r="11">
      <c r="A11" s="6" t="inlineStr">
        <is>
          <t>EG-0007</t>
        </is>
      </c>
      <c r="B11" s="7" t="n">
        <v>46204</v>
      </c>
      <c r="C11" s="6" t="inlineStr">
        <is>
          <t>Maharashtra</t>
        </is>
      </c>
      <c r="D11" s="6" t="inlineStr">
        <is>
          <t>Certificates</t>
        </is>
      </c>
      <c r="E11" s="6" t="inlineStr">
        <is>
          <t>Birth Certificate</t>
        </is>
      </c>
      <c r="F11" s="6" t="n">
        <v>1573</v>
      </c>
      <c r="G11" s="6" t="n">
        <v>1421</v>
      </c>
      <c r="H11" s="6" t="n">
        <v>152</v>
      </c>
      <c r="I11" s="8" t="n">
        <v>7.7</v>
      </c>
      <c r="J11" s="8" t="n">
        <v>86.40000000000001</v>
      </c>
      <c r="K11" s="9" t="n">
        <v>3.33</v>
      </c>
      <c r="L11" s="6" t="n">
        <v>32</v>
      </c>
      <c r="M11" s="8" t="n">
        <v>80.90000000000001</v>
      </c>
    </row>
    <row r="12">
      <c r="A12" s="6" t="inlineStr">
        <is>
          <t>EG-0008</t>
        </is>
      </c>
      <c r="B12" s="7" t="n">
        <v>46235</v>
      </c>
      <c r="C12" s="6" t="inlineStr">
        <is>
          <t>Maharashtra</t>
        </is>
      </c>
      <c r="D12" s="6" t="inlineStr">
        <is>
          <t>Certificates</t>
        </is>
      </c>
      <c r="E12" s="6" t="inlineStr">
        <is>
          <t>Income Certificate</t>
        </is>
      </c>
      <c r="F12" s="6" t="n">
        <v>1377</v>
      </c>
      <c r="G12" s="6" t="n">
        <v>1155</v>
      </c>
      <c r="H12" s="6" t="n">
        <v>222</v>
      </c>
      <c r="I12" s="8" t="n">
        <v>3.5</v>
      </c>
      <c r="J12" s="8" t="n">
        <v>82.3</v>
      </c>
      <c r="K12" s="9" t="n">
        <v>4.01</v>
      </c>
      <c r="L12" s="6" t="n">
        <v>37</v>
      </c>
      <c r="M12" s="8" t="n">
        <v>99</v>
      </c>
    </row>
    <row r="13">
      <c r="A13" s="6" t="inlineStr">
        <is>
          <t>EG-0009</t>
        </is>
      </c>
      <c r="B13" s="7" t="n">
        <v>46266</v>
      </c>
      <c r="C13" s="6" t="inlineStr">
        <is>
          <t>Maharashtra</t>
        </is>
      </c>
      <c r="D13" s="6" t="inlineStr">
        <is>
          <t>Licenses</t>
        </is>
      </c>
      <c r="E13" s="6" t="inlineStr">
        <is>
          <t>Trade License</t>
        </is>
      </c>
      <c r="F13" s="6" t="n">
        <v>2370</v>
      </c>
      <c r="G13" s="6" t="n">
        <v>2089</v>
      </c>
      <c r="H13" s="6" t="n">
        <v>281</v>
      </c>
      <c r="I13" s="8" t="n">
        <v>6</v>
      </c>
      <c r="J13" s="8" t="n">
        <v>79.2</v>
      </c>
      <c r="K13" s="9" t="n">
        <v>4.41</v>
      </c>
      <c r="L13" s="6" t="n">
        <v>43</v>
      </c>
      <c r="M13" s="8" t="n">
        <v>96.8</v>
      </c>
    </row>
    <row r="14">
      <c r="A14" s="6" t="inlineStr">
        <is>
          <t>EG-0010</t>
        </is>
      </c>
      <c r="B14" s="7" t="n">
        <v>46296</v>
      </c>
      <c r="C14" s="6" t="inlineStr">
        <is>
          <t>Maharashtra</t>
        </is>
      </c>
      <c r="D14" s="6" t="inlineStr">
        <is>
          <t>Welfare</t>
        </is>
      </c>
      <c r="E14" s="6" t="inlineStr">
        <is>
          <t>Scholarship Application</t>
        </is>
      </c>
      <c r="F14" s="6" t="n">
        <v>1506</v>
      </c>
      <c r="G14" s="6" t="n">
        <v>1339</v>
      </c>
      <c r="H14" s="6" t="n">
        <v>167</v>
      </c>
      <c r="I14" s="8" t="n">
        <v>7</v>
      </c>
      <c r="J14" s="8" t="n">
        <v>74.90000000000001</v>
      </c>
      <c r="K14" s="9" t="n">
        <v>3.98</v>
      </c>
      <c r="L14" s="6" t="n">
        <v>19</v>
      </c>
      <c r="M14" s="8" t="n">
        <v>86.40000000000001</v>
      </c>
    </row>
    <row r="15">
      <c r="A15" s="6" t="inlineStr">
        <is>
          <t>EG-0011</t>
        </is>
      </c>
      <c r="B15" s="7" t="n">
        <v>46327</v>
      </c>
      <c r="C15" s="6" t="inlineStr">
        <is>
          <t>Maharashtra</t>
        </is>
      </c>
      <c r="D15" s="6" t="inlineStr">
        <is>
          <t>Welfare</t>
        </is>
      </c>
      <c r="E15" s="6" t="inlineStr">
        <is>
          <t>Pension Application</t>
        </is>
      </c>
      <c r="F15" s="6" t="n">
        <v>1780</v>
      </c>
      <c r="G15" s="6" t="n">
        <v>1502</v>
      </c>
      <c r="H15" s="6" t="n">
        <v>278</v>
      </c>
      <c r="I15" s="8" t="n">
        <v>2.8</v>
      </c>
      <c r="J15" s="8" t="n">
        <v>85.59999999999999</v>
      </c>
      <c r="K15" s="9" t="n">
        <v>3.86</v>
      </c>
      <c r="L15" s="6" t="n">
        <v>50</v>
      </c>
      <c r="M15" s="8" t="n">
        <v>91.40000000000001</v>
      </c>
    </row>
    <row r="16">
      <c r="A16" s="6" t="inlineStr">
        <is>
          <t>EG-0012</t>
        </is>
      </c>
      <c r="B16" s="7" t="n">
        <v>46357</v>
      </c>
      <c r="C16" s="6" t="inlineStr">
        <is>
          <t>Maharashtra</t>
        </is>
      </c>
      <c r="D16" s="6" t="inlineStr">
        <is>
          <t>Citizen Services</t>
        </is>
      </c>
      <c r="E16" s="6" t="inlineStr">
        <is>
          <t>Property Tax</t>
        </is>
      </c>
      <c r="F16" s="6" t="n">
        <v>2206</v>
      </c>
      <c r="G16" s="6" t="n">
        <v>1771</v>
      </c>
      <c r="H16" s="6" t="n">
        <v>435</v>
      </c>
      <c r="I16" s="8" t="n">
        <v>3.2</v>
      </c>
      <c r="J16" s="8" t="n">
        <v>85.90000000000001</v>
      </c>
      <c r="K16" s="9" t="n">
        <v>4.09</v>
      </c>
      <c r="L16" s="6" t="n">
        <v>64</v>
      </c>
      <c r="M16" s="8" t="n">
        <v>83.8</v>
      </c>
    </row>
    <row r="17">
      <c r="A17" s="6" t="inlineStr">
        <is>
          <t>EG-0013</t>
        </is>
      </c>
      <c r="B17" s="7" t="n">
        <v>46023</v>
      </c>
      <c r="C17" s="6" t="inlineStr">
        <is>
          <t>Gujarat</t>
        </is>
      </c>
      <c r="D17" s="6" t="inlineStr">
        <is>
          <t>Certificates</t>
        </is>
      </c>
      <c r="E17" s="6" t="inlineStr">
        <is>
          <t>Birth Certificate</t>
        </is>
      </c>
      <c r="F17" s="6" t="n">
        <v>1995</v>
      </c>
      <c r="G17" s="6" t="n">
        <v>1842</v>
      </c>
      <c r="H17" s="6" t="n">
        <v>153</v>
      </c>
      <c r="I17" s="8" t="n">
        <v>4.6</v>
      </c>
      <c r="J17" s="8" t="n">
        <v>83</v>
      </c>
      <c r="K17" s="9" t="n">
        <v>5</v>
      </c>
      <c r="L17" s="6" t="n">
        <v>47</v>
      </c>
      <c r="M17" s="8" t="n">
        <v>91.3</v>
      </c>
    </row>
    <row r="18">
      <c r="A18" s="6" t="inlineStr">
        <is>
          <t>EG-0014</t>
        </is>
      </c>
      <c r="B18" s="7" t="n">
        <v>46054</v>
      </c>
      <c r="C18" s="6" t="inlineStr">
        <is>
          <t>Gujarat</t>
        </is>
      </c>
      <c r="D18" s="6" t="inlineStr">
        <is>
          <t>Certificates</t>
        </is>
      </c>
      <c r="E18" s="6" t="inlineStr">
        <is>
          <t>Income Certificate</t>
        </is>
      </c>
      <c r="F18" s="6" t="n">
        <v>1298</v>
      </c>
      <c r="G18" s="6" t="n">
        <v>1044</v>
      </c>
      <c r="H18" s="6" t="n">
        <v>254</v>
      </c>
      <c r="I18" s="8" t="n">
        <v>3.3</v>
      </c>
      <c r="J18" s="8" t="n">
        <v>80</v>
      </c>
      <c r="K18" s="9" t="n">
        <v>3.9</v>
      </c>
      <c r="L18" s="6" t="n">
        <v>27</v>
      </c>
      <c r="M18" s="8" t="n">
        <v>83.90000000000001</v>
      </c>
    </row>
    <row r="19">
      <c r="A19" s="6" t="inlineStr">
        <is>
          <t>EG-0015</t>
        </is>
      </c>
      <c r="B19" s="7" t="n">
        <v>46082</v>
      </c>
      <c r="C19" s="6" t="inlineStr">
        <is>
          <t>Gujarat</t>
        </is>
      </c>
      <c r="D19" s="6" t="inlineStr">
        <is>
          <t>Licenses</t>
        </is>
      </c>
      <c r="E19" s="6" t="inlineStr">
        <is>
          <t>Trade License</t>
        </is>
      </c>
      <c r="F19" s="6" t="n">
        <v>2472</v>
      </c>
      <c r="G19" s="6" t="n">
        <v>2322</v>
      </c>
      <c r="H19" s="6" t="n">
        <v>150</v>
      </c>
      <c r="I19" s="8" t="n">
        <v>6</v>
      </c>
      <c r="J19" s="8" t="n">
        <v>90.7</v>
      </c>
      <c r="K19" s="9" t="n">
        <v>3.89</v>
      </c>
      <c r="L19" s="6" t="n">
        <v>30</v>
      </c>
      <c r="M19" s="8" t="n">
        <v>88.59999999999999</v>
      </c>
    </row>
    <row r="20">
      <c r="A20" s="6" t="inlineStr">
        <is>
          <t>EG-0016</t>
        </is>
      </c>
      <c r="B20" s="7" t="n">
        <v>46113</v>
      </c>
      <c r="C20" s="6" t="inlineStr">
        <is>
          <t>Gujarat</t>
        </is>
      </c>
      <c r="D20" s="6" t="inlineStr">
        <is>
          <t>Welfare</t>
        </is>
      </c>
      <c r="E20" s="6" t="inlineStr">
        <is>
          <t>Scholarship Application</t>
        </is>
      </c>
      <c r="F20" s="6" t="n">
        <v>2308</v>
      </c>
      <c r="G20" s="6" t="n">
        <v>2077</v>
      </c>
      <c r="H20" s="6" t="n">
        <v>231</v>
      </c>
      <c r="I20" s="8" t="n">
        <v>6.6</v>
      </c>
      <c r="J20" s="8" t="n">
        <v>70.09999999999999</v>
      </c>
      <c r="K20" s="9" t="n">
        <v>3.82</v>
      </c>
      <c r="L20" s="6" t="n">
        <v>36</v>
      </c>
      <c r="M20" s="8" t="n">
        <v>93.5</v>
      </c>
    </row>
    <row r="21">
      <c r="A21" s="6" t="inlineStr">
        <is>
          <t>EG-0017</t>
        </is>
      </c>
      <c r="B21" s="7" t="n">
        <v>46143</v>
      </c>
      <c r="C21" s="6" t="inlineStr">
        <is>
          <t>Gujarat</t>
        </is>
      </c>
      <c r="D21" s="6" t="inlineStr">
        <is>
          <t>Welfare</t>
        </is>
      </c>
      <c r="E21" s="6" t="inlineStr">
        <is>
          <t>Pension Application</t>
        </is>
      </c>
      <c r="F21" s="6" t="n">
        <v>1017</v>
      </c>
      <c r="G21" s="6" t="n">
        <v>948</v>
      </c>
      <c r="H21" s="6" t="n">
        <v>69</v>
      </c>
      <c r="I21" s="8" t="n">
        <v>7.1</v>
      </c>
      <c r="J21" s="8" t="n">
        <v>78.40000000000001</v>
      </c>
      <c r="K21" s="9" t="n">
        <v>4.34</v>
      </c>
      <c r="L21" s="6" t="n">
        <v>16</v>
      </c>
      <c r="M21" s="8" t="n">
        <v>98.59999999999999</v>
      </c>
    </row>
    <row r="22">
      <c r="A22" s="6" t="inlineStr">
        <is>
          <t>EG-0018</t>
        </is>
      </c>
      <c r="B22" s="7" t="n">
        <v>46174</v>
      </c>
      <c r="C22" s="6" t="inlineStr">
        <is>
          <t>Gujarat</t>
        </is>
      </c>
      <c r="D22" s="6" t="inlineStr">
        <is>
          <t>Citizen Services</t>
        </is>
      </c>
      <c r="E22" s="6" t="inlineStr">
        <is>
          <t>Property Tax</t>
        </is>
      </c>
      <c r="F22" s="6" t="n">
        <v>1631</v>
      </c>
      <c r="G22" s="6" t="n">
        <v>1491</v>
      </c>
      <c r="H22" s="6" t="n">
        <v>140</v>
      </c>
      <c r="I22" s="8" t="n">
        <v>5.1</v>
      </c>
      <c r="J22" s="8" t="n">
        <v>72.7</v>
      </c>
      <c r="K22" s="9" t="n">
        <v>4.2</v>
      </c>
      <c r="L22" s="6" t="n">
        <v>25</v>
      </c>
      <c r="M22" s="8" t="n">
        <v>94.59999999999999</v>
      </c>
    </row>
    <row r="23">
      <c r="A23" s="6" t="inlineStr">
        <is>
          <t>EG-0019</t>
        </is>
      </c>
      <c r="B23" s="7" t="n">
        <v>46204</v>
      </c>
      <c r="C23" s="6" t="inlineStr">
        <is>
          <t>Gujarat</t>
        </is>
      </c>
      <c r="D23" s="6" t="inlineStr">
        <is>
          <t>Certificates</t>
        </is>
      </c>
      <c r="E23" s="6" t="inlineStr">
        <is>
          <t>Birth Certificate</t>
        </is>
      </c>
      <c r="F23" s="6" t="n">
        <v>2059</v>
      </c>
      <c r="G23" s="6" t="n">
        <v>1908</v>
      </c>
      <c r="H23" s="6" t="n">
        <v>151</v>
      </c>
      <c r="I23" s="8" t="n">
        <v>5.6</v>
      </c>
      <c r="J23" s="8" t="n">
        <v>76.09999999999999</v>
      </c>
      <c r="K23" s="9" t="n">
        <v>4.06</v>
      </c>
      <c r="L23" s="6" t="n">
        <v>41</v>
      </c>
      <c r="M23" s="8" t="n">
        <v>99</v>
      </c>
    </row>
    <row r="24">
      <c r="A24" s="6" t="inlineStr">
        <is>
          <t>EG-0020</t>
        </is>
      </c>
      <c r="B24" s="7" t="n">
        <v>46235</v>
      </c>
      <c r="C24" s="6" t="inlineStr">
        <is>
          <t>Gujarat</t>
        </is>
      </c>
      <c r="D24" s="6" t="inlineStr">
        <is>
          <t>Certificates</t>
        </is>
      </c>
      <c r="E24" s="6" t="inlineStr">
        <is>
          <t>Income Certificate</t>
        </is>
      </c>
      <c r="F24" s="6" t="n">
        <v>1397</v>
      </c>
      <c r="G24" s="6" t="n">
        <v>1102</v>
      </c>
      <c r="H24" s="6" t="n">
        <v>295</v>
      </c>
      <c r="I24" s="8" t="n">
        <v>7.1</v>
      </c>
      <c r="J24" s="8" t="n">
        <v>78</v>
      </c>
      <c r="K24" s="9" t="n">
        <v>4.07</v>
      </c>
      <c r="L24" s="6" t="n">
        <v>32</v>
      </c>
      <c r="M24" s="8" t="n">
        <v>89.3</v>
      </c>
    </row>
    <row r="25">
      <c r="A25" s="6" t="inlineStr">
        <is>
          <t>EG-0021</t>
        </is>
      </c>
      <c r="B25" s="7" t="n">
        <v>46266</v>
      </c>
      <c r="C25" s="6" t="inlineStr">
        <is>
          <t>Gujarat</t>
        </is>
      </c>
      <c r="D25" s="6" t="inlineStr">
        <is>
          <t>Licenses</t>
        </is>
      </c>
      <c r="E25" s="6" t="inlineStr">
        <is>
          <t>Trade License</t>
        </is>
      </c>
      <c r="F25" s="6" t="n">
        <v>1034</v>
      </c>
      <c r="G25" s="6" t="n">
        <v>968</v>
      </c>
      <c r="H25" s="6" t="n">
        <v>66</v>
      </c>
      <c r="I25" s="8" t="n">
        <v>6</v>
      </c>
      <c r="J25" s="8" t="n">
        <v>85.2</v>
      </c>
      <c r="K25" s="9" t="n">
        <v>4.39</v>
      </c>
      <c r="L25" s="6" t="n">
        <v>34</v>
      </c>
      <c r="M25" s="8" t="n">
        <v>93.09999999999999</v>
      </c>
    </row>
    <row r="26">
      <c r="A26" s="6" t="inlineStr">
        <is>
          <t>EG-0022</t>
        </is>
      </c>
      <c r="B26" s="7" t="n">
        <v>46296</v>
      </c>
      <c r="C26" s="6" t="inlineStr">
        <is>
          <t>Gujarat</t>
        </is>
      </c>
      <c r="D26" s="6" t="inlineStr">
        <is>
          <t>Welfare</t>
        </is>
      </c>
      <c r="E26" s="6" t="inlineStr">
        <is>
          <t>Scholarship Application</t>
        </is>
      </c>
      <c r="F26" s="6" t="n">
        <v>2153</v>
      </c>
      <c r="G26" s="6" t="n">
        <v>1825</v>
      </c>
      <c r="H26" s="6" t="n">
        <v>328</v>
      </c>
      <c r="I26" s="8" t="n">
        <v>3.5</v>
      </c>
      <c r="J26" s="8" t="n">
        <v>85.3</v>
      </c>
      <c r="K26" s="9" t="n">
        <v>3.55</v>
      </c>
      <c r="L26" s="6" t="n">
        <v>35</v>
      </c>
      <c r="M26" s="8" t="n">
        <v>88</v>
      </c>
    </row>
    <row r="27">
      <c r="A27" s="6" t="inlineStr">
        <is>
          <t>EG-0023</t>
        </is>
      </c>
      <c r="B27" s="7" t="n">
        <v>46327</v>
      </c>
      <c r="C27" s="6" t="inlineStr">
        <is>
          <t>Gujarat</t>
        </is>
      </c>
      <c r="D27" s="6" t="inlineStr">
        <is>
          <t>Welfare</t>
        </is>
      </c>
      <c r="E27" s="6" t="inlineStr">
        <is>
          <t>Pension Application</t>
        </is>
      </c>
      <c r="F27" s="6" t="n">
        <v>1594</v>
      </c>
      <c r="G27" s="6" t="n">
        <v>1345</v>
      </c>
      <c r="H27" s="6" t="n">
        <v>249</v>
      </c>
      <c r="I27" s="8" t="n">
        <v>6</v>
      </c>
      <c r="J27" s="8" t="n">
        <v>70</v>
      </c>
      <c r="K27" s="9" t="n">
        <v>4.56</v>
      </c>
      <c r="L27" s="6" t="n">
        <v>35</v>
      </c>
      <c r="M27" s="8" t="n">
        <v>90</v>
      </c>
    </row>
    <row r="28">
      <c r="A28" s="6" t="inlineStr">
        <is>
          <t>EG-0024</t>
        </is>
      </c>
      <c r="B28" s="7" t="n">
        <v>46357</v>
      </c>
      <c r="C28" s="6" t="inlineStr">
        <is>
          <t>Gujarat</t>
        </is>
      </c>
      <c r="D28" s="6" t="inlineStr">
        <is>
          <t>Citizen Services</t>
        </is>
      </c>
      <c r="E28" s="6" t="inlineStr">
        <is>
          <t>Property Tax</t>
        </is>
      </c>
      <c r="F28" s="6" t="n">
        <v>1018</v>
      </c>
      <c r="G28" s="6" t="n">
        <v>889</v>
      </c>
      <c r="H28" s="6" t="n">
        <v>129</v>
      </c>
      <c r="I28" s="8" t="n">
        <v>3.6</v>
      </c>
      <c r="J28" s="8" t="n">
        <v>81.2</v>
      </c>
      <c r="K28" s="9" t="n">
        <v>4.12</v>
      </c>
      <c r="L28" s="6" t="n">
        <v>26</v>
      </c>
      <c r="M28" s="8" t="n">
        <v>91.90000000000001</v>
      </c>
    </row>
    <row r="29">
      <c r="A29" s="6" t="inlineStr">
        <is>
          <t>EG-0025</t>
        </is>
      </c>
      <c r="B29" s="7" t="n">
        <v>46023</v>
      </c>
      <c r="C29" s="6" t="inlineStr">
        <is>
          <t>Karnataka</t>
        </is>
      </c>
      <c r="D29" s="6" t="inlineStr">
        <is>
          <t>Certificates</t>
        </is>
      </c>
      <c r="E29" s="6" t="inlineStr">
        <is>
          <t>Birth Certificate</t>
        </is>
      </c>
      <c r="F29" s="6" t="n">
        <v>1564</v>
      </c>
      <c r="G29" s="6" t="n">
        <v>1236</v>
      </c>
      <c r="H29" s="6" t="n">
        <v>328</v>
      </c>
      <c r="I29" s="8" t="n">
        <v>2.6</v>
      </c>
      <c r="J29" s="8" t="n">
        <v>78.5</v>
      </c>
      <c r="K29" s="9" t="n">
        <v>4.47</v>
      </c>
      <c r="L29" s="6" t="n">
        <v>28</v>
      </c>
      <c r="M29" s="8" t="n">
        <v>83.8</v>
      </c>
    </row>
    <row r="30">
      <c r="A30" s="6" t="inlineStr">
        <is>
          <t>EG-0026</t>
        </is>
      </c>
      <c r="B30" s="7" t="n">
        <v>46054</v>
      </c>
      <c r="C30" s="6" t="inlineStr">
        <is>
          <t>Karnataka</t>
        </is>
      </c>
      <c r="D30" s="6" t="inlineStr">
        <is>
          <t>Certificates</t>
        </is>
      </c>
      <c r="E30" s="6" t="inlineStr">
        <is>
          <t>Income Certificate</t>
        </is>
      </c>
      <c r="F30" s="6" t="n">
        <v>2433</v>
      </c>
      <c r="G30" s="6" t="n">
        <v>2122</v>
      </c>
      <c r="H30" s="6" t="n">
        <v>311</v>
      </c>
      <c r="I30" s="8" t="n">
        <v>3.7</v>
      </c>
      <c r="J30" s="8" t="n">
        <v>82.7</v>
      </c>
      <c r="K30" s="9" t="n">
        <v>3.75</v>
      </c>
      <c r="L30" s="6" t="n">
        <v>34</v>
      </c>
      <c r="M30" s="8" t="n">
        <v>90.90000000000001</v>
      </c>
    </row>
    <row r="31">
      <c r="A31" s="6" t="inlineStr">
        <is>
          <t>EG-0027</t>
        </is>
      </c>
      <c r="B31" s="7" t="n">
        <v>46082</v>
      </c>
      <c r="C31" s="6" t="inlineStr">
        <is>
          <t>Karnataka</t>
        </is>
      </c>
      <c r="D31" s="6" t="inlineStr">
        <is>
          <t>Licenses</t>
        </is>
      </c>
      <c r="E31" s="6" t="inlineStr">
        <is>
          <t>Trade License</t>
        </is>
      </c>
      <c r="F31" s="6" t="n">
        <v>2117</v>
      </c>
      <c r="G31" s="6" t="n">
        <v>1771</v>
      </c>
      <c r="H31" s="6" t="n">
        <v>346</v>
      </c>
      <c r="I31" s="8" t="n">
        <v>5.3</v>
      </c>
      <c r="J31" s="8" t="n">
        <v>83.3</v>
      </c>
      <c r="K31" s="9" t="n">
        <v>3.99</v>
      </c>
      <c r="L31" s="6" t="n">
        <v>57</v>
      </c>
      <c r="M31" s="8" t="n">
        <v>88.90000000000001</v>
      </c>
    </row>
    <row r="32">
      <c r="A32" s="6" t="inlineStr">
        <is>
          <t>EG-0028</t>
        </is>
      </c>
      <c r="B32" s="7" t="n">
        <v>46113</v>
      </c>
      <c r="C32" s="6" t="inlineStr">
        <is>
          <t>Karnataka</t>
        </is>
      </c>
      <c r="D32" s="6" t="inlineStr">
        <is>
          <t>Welfare</t>
        </is>
      </c>
      <c r="E32" s="6" t="inlineStr">
        <is>
          <t>Scholarship Application</t>
        </is>
      </c>
      <c r="F32" s="6" t="n">
        <v>1874</v>
      </c>
      <c r="G32" s="6" t="n">
        <v>1701</v>
      </c>
      <c r="H32" s="6" t="n">
        <v>173</v>
      </c>
      <c r="I32" s="8" t="n">
        <v>3</v>
      </c>
      <c r="J32" s="8" t="n">
        <v>80.3</v>
      </c>
      <c r="K32" s="9" t="n">
        <v>4.26</v>
      </c>
      <c r="L32" s="6" t="n">
        <v>28</v>
      </c>
      <c r="M32" s="8" t="n">
        <v>95.8</v>
      </c>
    </row>
    <row r="33">
      <c r="A33" s="6" t="inlineStr">
        <is>
          <t>EG-0029</t>
        </is>
      </c>
      <c r="B33" s="7" t="n">
        <v>46143</v>
      </c>
      <c r="C33" s="6" t="inlineStr">
        <is>
          <t>Karnataka</t>
        </is>
      </c>
      <c r="D33" s="6" t="inlineStr">
        <is>
          <t>Welfare</t>
        </is>
      </c>
      <c r="E33" s="6" t="inlineStr">
        <is>
          <t>Pension Application</t>
        </is>
      </c>
      <c r="F33" s="6" t="n">
        <v>1458</v>
      </c>
      <c r="G33" s="6" t="n">
        <v>1202</v>
      </c>
      <c r="H33" s="6" t="n">
        <v>256</v>
      </c>
      <c r="I33" s="8" t="n">
        <v>3.7</v>
      </c>
      <c r="J33" s="8" t="n">
        <v>87.8</v>
      </c>
      <c r="K33" s="9" t="n">
        <v>3.92</v>
      </c>
      <c r="L33" s="6" t="n">
        <v>46</v>
      </c>
      <c r="M33" s="8" t="n">
        <v>88.5</v>
      </c>
    </row>
    <row r="34">
      <c r="A34" s="6" t="inlineStr">
        <is>
          <t>EG-0030</t>
        </is>
      </c>
      <c r="B34" s="7" t="n">
        <v>46174</v>
      </c>
      <c r="C34" s="6" t="inlineStr">
        <is>
          <t>Karnataka</t>
        </is>
      </c>
      <c r="D34" s="6" t="inlineStr">
        <is>
          <t>Citizen Services</t>
        </is>
      </c>
      <c r="E34" s="6" t="inlineStr">
        <is>
          <t>Property Tax</t>
        </is>
      </c>
      <c r="F34" s="6" t="n">
        <v>2207</v>
      </c>
      <c r="G34" s="6" t="n">
        <v>2016</v>
      </c>
      <c r="H34" s="6" t="n">
        <v>191</v>
      </c>
      <c r="I34" s="8" t="n">
        <v>7.6</v>
      </c>
      <c r="J34" s="8" t="n">
        <v>81.40000000000001</v>
      </c>
      <c r="K34" s="9" t="n">
        <v>4.5</v>
      </c>
      <c r="L34" s="6" t="n">
        <v>34</v>
      </c>
      <c r="M34" s="8" t="n">
        <v>85.7</v>
      </c>
    </row>
    <row r="35">
      <c r="A35" s="6" t="inlineStr">
        <is>
          <t>EG-0031</t>
        </is>
      </c>
      <c r="B35" s="7" t="n">
        <v>46204</v>
      </c>
      <c r="C35" s="6" t="inlineStr">
        <is>
          <t>Karnataka</t>
        </is>
      </c>
      <c r="D35" s="6" t="inlineStr">
        <is>
          <t>Certificates</t>
        </is>
      </c>
      <c r="E35" s="6" t="inlineStr">
        <is>
          <t>Birth Certificate</t>
        </is>
      </c>
      <c r="F35" s="6" t="n">
        <v>2000</v>
      </c>
      <c r="G35" s="6" t="n">
        <v>1714</v>
      </c>
      <c r="H35" s="6" t="n">
        <v>286</v>
      </c>
      <c r="I35" s="8" t="n">
        <v>7.1</v>
      </c>
      <c r="J35" s="8" t="n">
        <v>84.90000000000001</v>
      </c>
      <c r="K35" s="9" t="n">
        <v>3.81</v>
      </c>
      <c r="L35" s="6" t="n">
        <v>24</v>
      </c>
      <c r="M35" s="8" t="n">
        <v>81.2</v>
      </c>
    </row>
    <row r="36">
      <c r="A36" s="6" t="inlineStr">
        <is>
          <t>EG-0032</t>
        </is>
      </c>
      <c r="B36" s="7" t="n">
        <v>46235</v>
      </c>
      <c r="C36" s="6" t="inlineStr">
        <is>
          <t>Karnataka</t>
        </is>
      </c>
      <c r="D36" s="6" t="inlineStr">
        <is>
          <t>Certificates</t>
        </is>
      </c>
      <c r="E36" s="6" t="inlineStr">
        <is>
          <t>Income Certificate</t>
        </is>
      </c>
      <c r="F36" s="6" t="n">
        <v>1874</v>
      </c>
      <c r="G36" s="6" t="n">
        <v>1547</v>
      </c>
      <c r="H36" s="6" t="n">
        <v>327</v>
      </c>
      <c r="I36" s="8" t="n">
        <v>6.2</v>
      </c>
      <c r="J36" s="8" t="n">
        <v>90.7</v>
      </c>
      <c r="K36" s="9" t="n">
        <v>3.93</v>
      </c>
      <c r="L36" s="6" t="n">
        <v>51</v>
      </c>
      <c r="M36" s="8" t="n">
        <v>81.3</v>
      </c>
    </row>
    <row r="37">
      <c r="A37" s="6" t="inlineStr">
        <is>
          <t>EG-0033</t>
        </is>
      </c>
      <c r="B37" s="7" t="n">
        <v>46266</v>
      </c>
      <c r="C37" s="6" t="inlineStr">
        <is>
          <t>Karnataka</t>
        </is>
      </c>
      <c r="D37" s="6" t="inlineStr">
        <is>
          <t>Licenses</t>
        </is>
      </c>
      <c r="E37" s="6" t="inlineStr">
        <is>
          <t>Trade License</t>
        </is>
      </c>
      <c r="F37" s="6" t="n">
        <v>1918</v>
      </c>
      <c r="G37" s="6" t="n">
        <v>1543</v>
      </c>
      <c r="H37" s="6" t="n">
        <v>375</v>
      </c>
      <c r="I37" s="8" t="n">
        <v>4.7</v>
      </c>
      <c r="J37" s="8" t="n">
        <v>89.7</v>
      </c>
      <c r="K37" s="9" t="n">
        <v>4.01</v>
      </c>
      <c r="L37" s="6" t="n">
        <v>46</v>
      </c>
      <c r="M37" s="8" t="n">
        <v>90</v>
      </c>
    </row>
    <row r="38">
      <c r="A38" s="6" t="inlineStr">
        <is>
          <t>EG-0034</t>
        </is>
      </c>
      <c r="B38" s="7" t="n">
        <v>46296</v>
      </c>
      <c r="C38" s="6" t="inlineStr">
        <is>
          <t>Karnataka</t>
        </is>
      </c>
      <c r="D38" s="6" t="inlineStr">
        <is>
          <t>Welfare</t>
        </is>
      </c>
      <c r="E38" s="6" t="inlineStr">
        <is>
          <t>Scholarship Application</t>
        </is>
      </c>
      <c r="F38" s="6" t="n">
        <v>2145</v>
      </c>
      <c r="G38" s="6" t="n">
        <v>1836</v>
      </c>
      <c r="H38" s="6" t="n">
        <v>309</v>
      </c>
      <c r="I38" s="8" t="n">
        <v>7.4</v>
      </c>
      <c r="J38" s="8" t="n">
        <v>79.90000000000001</v>
      </c>
      <c r="K38" s="9" t="n">
        <v>3.79</v>
      </c>
      <c r="L38" s="6" t="n">
        <v>50</v>
      </c>
      <c r="M38" s="8" t="n">
        <v>89.7</v>
      </c>
    </row>
    <row r="39">
      <c r="A39" s="6" t="inlineStr">
        <is>
          <t>EG-0035</t>
        </is>
      </c>
      <c r="B39" s="7" t="n">
        <v>46327</v>
      </c>
      <c r="C39" s="6" t="inlineStr">
        <is>
          <t>Karnataka</t>
        </is>
      </c>
      <c r="D39" s="6" t="inlineStr">
        <is>
          <t>Welfare</t>
        </is>
      </c>
      <c r="E39" s="6" t="inlineStr">
        <is>
          <t>Pension Application</t>
        </is>
      </c>
      <c r="F39" s="6" t="n">
        <v>1351</v>
      </c>
      <c r="G39" s="6" t="n">
        <v>1068</v>
      </c>
      <c r="H39" s="6" t="n">
        <v>283</v>
      </c>
      <c r="I39" s="8" t="n">
        <v>2.8</v>
      </c>
      <c r="J39" s="8" t="n">
        <v>85.90000000000001</v>
      </c>
      <c r="K39" s="9" t="n">
        <v>3.83</v>
      </c>
      <c r="L39" s="6" t="n">
        <v>45</v>
      </c>
      <c r="M39" s="8" t="n">
        <v>84</v>
      </c>
    </row>
    <row r="40">
      <c r="A40" s="6" t="inlineStr">
        <is>
          <t>EG-0036</t>
        </is>
      </c>
      <c r="B40" s="7" t="n">
        <v>46357</v>
      </c>
      <c r="C40" s="6" t="inlineStr">
        <is>
          <t>Karnataka</t>
        </is>
      </c>
      <c r="D40" s="6" t="inlineStr">
        <is>
          <t>Citizen Services</t>
        </is>
      </c>
      <c r="E40" s="6" t="inlineStr">
        <is>
          <t>Property Tax</t>
        </is>
      </c>
      <c r="F40" s="6" t="n">
        <v>1079</v>
      </c>
      <c r="G40" s="6" t="n">
        <v>948</v>
      </c>
      <c r="H40" s="6" t="n">
        <v>131</v>
      </c>
      <c r="I40" s="8" t="n">
        <v>4.7</v>
      </c>
      <c r="J40" s="8" t="n">
        <v>78.7</v>
      </c>
      <c r="K40" s="9" t="n">
        <v>3.73</v>
      </c>
      <c r="L40" s="6" t="n">
        <v>36</v>
      </c>
      <c r="M40" s="8" t="n">
        <v>86.90000000000001</v>
      </c>
    </row>
    <row r="41">
      <c r="A41" s="6" t="inlineStr">
        <is>
          <t>EG-0037</t>
        </is>
      </c>
      <c r="B41" s="7" t="n">
        <v>46023</v>
      </c>
      <c r="C41" s="6" t="inlineStr">
        <is>
          <t>Tamil Nadu</t>
        </is>
      </c>
      <c r="D41" s="6" t="inlineStr">
        <is>
          <t>Certificates</t>
        </is>
      </c>
      <c r="E41" s="6" t="inlineStr">
        <is>
          <t>Birth Certificate</t>
        </is>
      </c>
      <c r="F41" s="6" t="n">
        <v>1576</v>
      </c>
      <c r="G41" s="6" t="n">
        <v>1398</v>
      </c>
      <c r="H41" s="6" t="n">
        <v>178</v>
      </c>
      <c r="I41" s="8" t="n">
        <v>4.1</v>
      </c>
      <c r="J41" s="8" t="n">
        <v>78.7</v>
      </c>
      <c r="K41" s="9" t="n">
        <v>4.28</v>
      </c>
      <c r="L41" s="6" t="n">
        <v>42</v>
      </c>
      <c r="M41" s="8" t="n">
        <v>78.90000000000001</v>
      </c>
    </row>
    <row r="42">
      <c r="A42" s="6" t="inlineStr">
        <is>
          <t>EG-0038</t>
        </is>
      </c>
      <c r="B42" s="7" t="n">
        <v>46054</v>
      </c>
      <c r="C42" s="6" t="inlineStr">
        <is>
          <t>Tamil Nadu</t>
        </is>
      </c>
      <c r="D42" s="6" t="inlineStr">
        <is>
          <t>Certificates</t>
        </is>
      </c>
      <c r="E42" s="6" t="inlineStr">
        <is>
          <t>Income Certificate</t>
        </is>
      </c>
      <c r="F42" s="6" t="n">
        <v>1288</v>
      </c>
      <c r="G42" s="6" t="n">
        <v>1006</v>
      </c>
      <c r="H42" s="6" t="n">
        <v>282</v>
      </c>
      <c r="I42" s="8" t="n">
        <v>5.8</v>
      </c>
      <c r="J42" s="8" t="n">
        <v>82.7</v>
      </c>
      <c r="K42" s="9" t="n">
        <v>3.89</v>
      </c>
      <c r="L42" s="6" t="n">
        <v>31</v>
      </c>
      <c r="M42" s="8" t="n">
        <v>89.09999999999999</v>
      </c>
    </row>
    <row r="43">
      <c r="A43" s="6" t="inlineStr">
        <is>
          <t>EG-0039</t>
        </is>
      </c>
      <c r="B43" s="7" t="n">
        <v>46082</v>
      </c>
      <c r="C43" s="6" t="inlineStr">
        <is>
          <t>Tamil Nadu</t>
        </is>
      </c>
      <c r="D43" s="6" t="inlineStr">
        <is>
          <t>Licenses</t>
        </is>
      </c>
      <c r="E43" s="6" t="inlineStr">
        <is>
          <t>Trade License</t>
        </is>
      </c>
      <c r="F43" s="6" t="n">
        <v>2404</v>
      </c>
      <c r="G43" s="6" t="n">
        <v>1977</v>
      </c>
      <c r="H43" s="6" t="n">
        <v>427</v>
      </c>
      <c r="I43" s="8" t="n">
        <v>8.1</v>
      </c>
      <c r="J43" s="8" t="n">
        <v>88</v>
      </c>
      <c r="K43" s="9" t="n">
        <v>3.36</v>
      </c>
      <c r="L43" s="6" t="n">
        <v>49</v>
      </c>
      <c r="M43" s="8" t="n">
        <v>95.2</v>
      </c>
    </row>
    <row r="44">
      <c r="A44" s="6" t="inlineStr">
        <is>
          <t>EG-0040</t>
        </is>
      </c>
      <c r="B44" s="7" t="n">
        <v>46113</v>
      </c>
      <c r="C44" s="6" t="inlineStr">
        <is>
          <t>Tamil Nadu</t>
        </is>
      </c>
      <c r="D44" s="6" t="inlineStr">
        <is>
          <t>Welfare</t>
        </is>
      </c>
      <c r="E44" s="6" t="inlineStr">
        <is>
          <t>Scholarship Application</t>
        </is>
      </c>
      <c r="F44" s="6" t="n">
        <v>1867</v>
      </c>
      <c r="G44" s="6" t="n">
        <v>1638</v>
      </c>
      <c r="H44" s="6" t="n">
        <v>229</v>
      </c>
      <c r="I44" s="8" t="n">
        <v>7.7</v>
      </c>
      <c r="J44" s="8" t="n">
        <v>88.5</v>
      </c>
      <c r="K44" s="9" t="n">
        <v>3.86</v>
      </c>
      <c r="L44" s="6" t="n">
        <v>57</v>
      </c>
      <c r="M44" s="8" t="n">
        <v>89.5</v>
      </c>
    </row>
    <row r="45">
      <c r="A45" s="6" t="inlineStr">
        <is>
          <t>EG-0041</t>
        </is>
      </c>
      <c r="B45" s="7" t="n">
        <v>46143</v>
      </c>
      <c r="C45" s="6" t="inlineStr">
        <is>
          <t>Tamil Nadu</t>
        </is>
      </c>
      <c r="D45" s="6" t="inlineStr">
        <is>
          <t>Welfare</t>
        </is>
      </c>
      <c r="E45" s="6" t="inlineStr">
        <is>
          <t>Pension Application</t>
        </is>
      </c>
      <c r="F45" s="6" t="n">
        <v>1809</v>
      </c>
      <c r="G45" s="6" t="n">
        <v>1680</v>
      </c>
      <c r="H45" s="6" t="n">
        <v>129</v>
      </c>
      <c r="I45" s="8" t="n">
        <v>3</v>
      </c>
      <c r="J45" s="8" t="n">
        <v>82.40000000000001</v>
      </c>
      <c r="K45" s="9" t="n">
        <v>3.91</v>
      </c>
      <c r="L45" s="6" t="n">
        <v>58</v>
      </c>
      <c r="M45" s="8" t="n">
        <v>89.90000000000001</v>
      </c>
    </row>
    <row r="46">
      <c r="A46" s="6" t="inlineStr">
        <is>
          <t>EG-0042</t>
        </is>
      </c>
      <c r="B46" s="7" t="n">
        <v>46174</v>
      </c>
      <c r="C46" s="6" t="inlineStr">
        <is>
          <t>Tamil Nadu</t>
        </is>
      </c>
      <c r="D46" s="6" t="inlineStr">
        <is>
          <t>Citizen Services</t>
        </is>
      </c>
      <c r="E46" s="6" t="inlineStr">
        <is>
          <t>Property Tax</t>
        </is>
      </c>
      <c r="F46" s="6" t="n">
        <v>1698</v>
      </c>
      <c r="G46" s="6" t="n">
        <v>1488</v>
      </c>
      <c r="H46" s="6" t="n">
        <v>210</v>
      </c>
      <c r="I46" s="8" t="n">
        <v>6.3</v>
      </c>
      <c r="J46" s="8" t="n">
        <v>75.5</v>
      </c>
      <c r="K46" s="9" t="n">
        <v>4.14</v>
      </c>
      <c r="L46" s="6" t="n">
        <v>30</v>
      </c>
      <c r="M46" s="8" t="n">
        <v>96.8</v>
      </c>
    </row>
    <row r="47">
      <c r="A47" s="6" t="inlineStr">
        <is>
          <t>EG-0043</t>
        </is>
      </c>
      <c r="B47" s="7" t="n">
        <v>46204</v>
      </c>
      <c r="C47" s="6" t="inlineStr">
        <is>
          <t>Tamil Nadu</t>
        </is>
      </c>
      <c r="D47" s="6" t="inlineStr">
        <is>
          <t>Certificates</t>
        </is>
      </c>
      <c r="E47" s="6" t="inlineStr">
        <is>
          <t>Birth Certificate</t>
        </is>
      </c>
      <c r="F47" s="6" t="n">
        <v>2097</v>
      </c>
      <c r="G47" s="6" t="n">
        <v>1719</v>
      </c>
      <c r="H47" s="6" t="n">
        <v>378</v>
      </c>
      <c r="I47" s="8" t="n">
        <v>7.3</v>
      </c>
      <c r="J47" s="8" t="n">
        <v>87.09999999999999</v>
      </c>
      <c r="K47" s="9" t="n">
        <v>4.07</v>
      </c>
      <c r="L47" s="6" t="n">
        <v>65</v>
      </c>
      <c r="M47" s="8" t="n">
        <v>94.3</v>
      </c>
    </row>
    <row r="48">
      <c r="A48" s="6" t="inlineStr">
        <is>
          <t>EG-0044</t>
        </is>
      </c>
      <c r="B48" s="7" t="n">
        <v>46235</v>
      </c>
      <c r="C48" s="6" t="inlineStr">
        <is>
          <t>Tamil Nadu</t>
        </is>
      </c>
      <c r="D48" s="6" t="inlineStr">
        <is>
          <t>Certificates</t>
        </is>
      </c>
      <c r="E48" s="6" t="inlineStr">
        <is>
          <t>Income Certificate</t>
        </is>
      </c>
      <c r="F48" s="6" t="n">
        <v>1249</v>
      </c>
      <c r="G48" s="6" t="n">
        <v>1101</v>
      </c>
      <c r="H48" s="6" t="n">
        <v>148</v>
      </c>
      <c r="I48" s="8" t="n">
        <v>3.8</v>
      </c>
      <c r="J48" s="8" t="n">
        <v>80.5</v>
      </c>
      <c r="K48" s="9" t="n">
        <v>4.08</v>
      </c>
      <c r="L48" s="6" t="n">
        <v>27</v>
      </c>
      <c r="M48" s="8" t="n">
        <v>83.7</v>
      </c>
    </row>
    <row r="49">
      <c r="A49" s="6" t="inlineStr">
        <is>
          <t>EG-0045</t>
        </is>
      </c>
      <c r="B49" s="7" t="n">
        <v>46266</v>
      </c>
      <c r="C49" s="6" t="inlineStr">
        <is>
          <t>Tamil Nadu</t>
        </is>
      </c>
      <c r="D49" s="6" t="inlineStr">
        <is>
          <t>Licenses</t>
        </is>
      </c>
      <c r="E49" s="6" t="inlineStr">
        <is>
          <t>Trade License</t>
        </is>
      </c>
      <c r="F49" s="6" t="n">
        <v>972</v>
      </c>
      <c r="G49" s="6" t="n">
        <v>775</v>
      </c>
      <c r="H49" s="6" t="n">
        <v>197</v>
      </c>
      <c r="I49" s="8" t="n">
        <v>8.199999999999999</v>
      </c>
      <c r="J49" s="8" t="n">
        <v>77.8</v>
      </c>
      <c r="K49" s="9" t="n">
        <v>3.66</v>
      </c>
      <c r="L49" s="6" t="n">
        <v>12</v>
      </c>
      <c r="M49" s="8" t="n">
        <v>85.7</v>
      </c>
    </row>
    <row r="50">
      <c r="A50" s="6" t="inlineStr">
        <is>
          <t>EG-0046</t>
        </is>
      </c>
      <c r="B50" s="7" t="n">
        <v>46296</v>
      </c>
      <c r="C50" s="6" t="inlineStr">
        <is>
          <t>Tamil Nadu</t>
        </is>
      </c>
      <c r="D50" s="6" t="inlineStr">
        <is>
          <t>Welfare</t>
        </is>
      </c>
      <c r="E50" s="6" t="inlineStr">
        <is>
          <t>Scholarship Application</t>
        </is>
      </c>
      <c r="F50" s="6" t="n">
        <v>1905</v>
      </c>
      <c r="G50" s="6" t="n">
        <v>1524</v>
      </c>
      <c r="H50" s="6" t="n">
        <v>381</v>
      </c>
      <c r="I50" s="8" t="n">
        <v>4.1</v>
      </c>
      <c r="J50" s="8" t="n">
        <v>84.59999999999999</v>
      </c>
      <c r="K50" s="9" t="n">
        <v>4.6</v>
      </c>
      <c r="L50" s="6" t="n">
        <v>60</v>
      </c>
      <c r="M50" s="8" t="n">
        <v>84.7</v>
      </c>
    </row>
    <row r="51">
      <c r="A51" s="6" t="inlineStr">
        <is>
          <t>EG-0047</t>
        </is>
      </c>
      <c r="B51" s="7" t="n">
        <v>46327</v>
      </c>
      <c r="C51" s="6" t="inlineStr">
        <is>
          <t>Tamil Nadu</t>
        </is>
      </c>
      <c r="D51" s="6" t="inlineStr">
        <is>
          <t>Welfare</t>
        </is>
      </c>
      <c r="E51" s="6" t="inlineStr">
        <is>
          <t>Pension Application</t>
        </is>
      </c>
      <c r="F51" s="6" t="n">
        <v>1801</v>
      </c>
      <c r="G51" s="6" t="n">
        <v>1465</v>
      </c>
      <c r="H51" s="6" t="n">
        <v>336</v>
      </c>
      <c r="I51" s="8" t="n">
        <v>3.7</v>
      </c>
      <c r="J51" s="8" t="n">
        <v>87.3</v>
      </c>
      <c r="K51" s="9" t="n">
        <v>4.47</v>
      </c>
      <c r="L51" s="6" t="n">
        <v>58</v>
      </c>
      <c r="M51" s="8" t="n">
        <v>84.2</v>
      </c>
    </row>
    <row r="52">
      <c r="A52" s="6" t="inlineStr">
        <is>
          <t>EG-0048</t>
        </is>
      </c>
      <c r="B52" s="7" t="n">
        <v>46357</v>
      </c>
      <c r="C52" s="6" t="inlineStr">
        <is>
          <t>Tamil Nadu</t>
        </is>
      </c>
      <c r="D52" s="6" t="inlineStr">
        <is>
          <t>Citizen Services</t>
        </is>
      </c>
      <c r="E52" s="6" t="inlineStr">
        <is>
          <t>Property Tax</t>
        </is>
      </c>
      <c r="F52" s="6" t="n">
        <v>1398</v>
      </c>
      <c r="G52" s="6" t="n">
        <v>1297</v>
      </c>
      <c r="H52" s="6" t="n">
        <v>101</v>
      </c>
      <c r="I52" s="8" t="n">
        <v>3.7</v>
      </c>
      <c r="J52" s="8" t="n">
        <v>83.59999999999999</v>
      </c>
      <c r="K52" s="9" t="n">
        <v>4.43</v>
      </c>
      <c r="L52" s="6" t="n">
        <v>22</v>
      </c>
      <c r="M52" s="8" t="n">
        <v>97.59999999999999</v>
      </c>
    </row>
    <row r="53">
      <c r="A53" s="6" t="inlineStr">
        <is>
          <t>EG-0049</t>
        </is>
      </c>
      <c r="B53" s="7" t="n">
        <v>46023</v>
      </c>
      <c r="C53" s="6" t="inlineStr">
        <is>
          <t>Telangana</t>
        </is>
      </c>
      <c r="D53" s="6" t="inlineStr">
        <is>
          <t>Certificates</t>
        </is>
      </c>
      <c r="E53" s="6" t="inlineStr">
        <is>
          <t>Birth Certificate</t>
        </is>
      </c>
      <c r="F53" s="6" t="n">
        <v>1723</v>
      </c>
      <c r="G53" s="6" t="n">
        <v>1350</v>
      </c>
      <c r="H53" s="6" t="n">
        <v>373</v>
      </c>
      <c r="I53" s="8" t="n">
        <v>6.4</v>
      </c>
      <c r="J53" s="8" t="n">
        <v>72.2</v>
      </c>
      <c r="K53" s="9" t="n">
        <v>4.69</v>
      </c>
      <c r="L53" s="6" t="n">
        <v>52</v>
      </c>
      <c r="M53" s="8" t="n">
        <v>96</v>
      </c>
    </row>
    <row r="54">
      <c r="A54" s="6" t="inlineStr">
        <is>
          <t>EG-0050</t>
        </is>
      </c>
      <c r="B54" s="7" t="n">
        <v>46054</v>
      </c>
      <c r="C54" s="6" t="inlineStr">
        <is>
          <t>Telangana</t>
        </is>
      </c>
      <c r="D54" s="6" t="inlineStr">
        <is>
          <t>Certificates</t>
        </is>
      </c>
      <c r="E54" s="6" t="inlineStr">
        <is>
          <t>Income Certificate</t>
        </is>
      </c>
      <c r="F54" s="6" t="n">
        <v>1468</v>
      </c>
      <c r="G54" s="6" t="n">
        <v>1182</v>
      </c>
      <c r="H54" s="6" t="n">
        <v>286</v>
      </c>
      <c r="I54" s="8" t="n">
        <v>6.2</v>
      </c>
      <c r="J54" s="8" t="n">
        <v>70.7</v>
      </c>
      <c r="K54" s="9" t="n">
        <v>3.93</v>
      </c>
      <c r="L54" s="6" t="n">
        <v>33</v>
      </c>
      <c r="M54" s="8" t="n">
        <v>90.90000000000001</v>
      </c>
    </row>
    <row r="55">
      <c r="A55" s="6" t="inlineStr">
        <is>
          <t>EG-0051</t>
        </is>
      </c>
      <c r="B55" s="7" t="n">
        <v>46082</v>
      </c>
      <c r="C55" s="6" t="inlineStr">
        <is>
          <t>Telangana</t>
        </is>
      </c>
      <c r="D55" s="6" t="inlineStr">
        <is>
          <t>Licenses</t>
        </is>
      </c>
      <c r="E55" s="6" t="inlineStr">
        <is>
          <t>Trade License</t>
        </is>
      </c>
      <c r="F55" s="6" t="n">
        <v>1342</v>
      </c>
      <c r="G55" s="6" t="n">
        <v>1222</v>
      </c>
      <c r="H55" s="6" t="n">
        <v>120</v>
      </c>
      <c r="I55" s="8" t="n">
        <v>5.6</v>
      </c>
      <c r="J55" s="8" t="n">
        <v>75.40000000000001</v>
      </c>
      <c r="K55" s="9" t="n">
        <v>4.64</v>
      </c>
      <c r="L55" s="6" t="n">
        <v>23</v>
      </c>
      <c r="M55" s="8" t="n">
        <v>93.2</v>
      </c>
    </row>
    <row r="56">
      <c r="A56" s="6" t="inlineStr">
        <is>
          <t>EG-0052</t>
        </is>
      </c>
      <c r="B56" s="7" t="n">
        <v>46113</v>
      </c>
      <c r="C56" s="6" t="inlineStr">
        <is>
          <t>Telangana</t>
        </is>
      </c>
      <c r="D56" s="6" t="inlineStr">
        <is>
          <t>Welfare</t>
        </is>
      </c>
      <c r="E56" s="6" t="inlineStr">
        <is>
          <t>Scholarship Application</t>
        </is>
      </c>
      <c r="F56" s="6" t="n">
        <v>1596</v>
      </c>
      <c r="G56" s="6" t="n">
        <v>1316</v>
      </c>
      <c r="H56" s="6" t="n">
        <v>280</v>
      </c>
      <c r="I56" s="8" t="n">
        <v>2.8</v>
      </c>
      <c r="J56" s="8" t="n">
        <v>79.59999999999999</v>
      </c>
      <c r="K56" s="9" t="n">
        <v>4.15</v>
      </c>
      <c r="L56" s="6" t="n">
        <v>37</v>
      </c>
      <c r="M56" s="8" t="n">
        <v>85.40000000000001</v>
      </c>
    </row>
    <row r="57">
      <c r="A57" s="6" t="inlineStr">
        <is>
          <t>EG-0053</t>
        </is>
      </c>
      <c r="B57" s="7" t="n">
        <v>46143</v>
      </c>
      <c r="C57" s="6" t="inlineStr">
        <is>
          <t>Telangana</t>
        </is>
      </c>
      <c r="D57" s="6" t="inlineStr">
        <is>
          <t>Welfare</t>
        </is>
      </c>
      <c r="E57" s="6" t="inlineStr">
        <is>
          <t>Pension Application</t>
        </is>
      </c>
      <c r="F57" s="6" t="n">
        <v>1974</v>
      </c>
      <c r="G57" s="6" t="n">
        <v>1644</v>
      </c>
      <c r="H57" s="6" t="n">
        <v>330</v>
      </c>
      <c r="I57" s="8" t="n">
        <v>2.5</v>
      </c>
      <c r="J57" s="8" t="n">
        <v>82.3</v>
      </c>
      <c r="K57" s="9" t="n">
        <v>3.91</v>
      </c>
      <c r="L57" s="6" t="n">
        <v>50</v>
      </c>
      <c r="M57" s="8" t="n">
        <v>91.40000000000001</v>
      </c>
    </row>
    <row r="58">
      <c r="A58" s="6" t="inlineStr">
        <is>
          <t>EG-0054</t>
        </is>
      </c>
      <c r="B58" s="7" t="n">
        <v>46174</v>
      </c>
      <c r="C58" s="6" t="inlineStr">
        <is>
          <t>Telangana</t>
        </is>
      </c>
      <c r="D58" s="6" t="inlineStr">
        <is>
          <t>Citizen Services</t>
        </is>
      </c>
      <c r="E58" s="6" t="inlineStr">
        <is>
          <t>Property Tax</t>
        </is>
      </c>
      <c r="F58" s="6" t="n">
        <v>2014</v>
      </c>
      <c r="G58" s="6" t="n">
        <v>1710</v>
      </c>
      <c r="H58" s="6" t="n">
        <v>304</v>
      </c>
      <c r="I58" s="8" t="n">
        <v>6.3</v>
      </c>
      <c r="J58" s="8" t="n">
        <v>78.8</v>
      </c>
      <c r="K58" s="9" t="n">
        <v>3.81</v>
      </c>
      <c r="L58" s="6" t="n">
        <v>47</v>
      </c>
      <c r="M58" s="8" t="n">
        <v>96.3</v>
      </c>
    </row>
    <row r="59">
      <c r="A59" s="6" t="inlineStr">
        <is>
          <t>EG-0055</t>
        </is>
      </c>
      <c r="B59" s="7" t="n">
        <v>46204</v>
      </c>
      <c r="C59" s="6" t="inlineStr">
        <is>
          <t>Telangana</t>
        </is>
      </c>
      <c r="D59" s="6" t="inlineStr">
        <is>
          <t>Certificates</t>
        </is>
      </c>
      <c r="E59" s="6" t="inlineStr">
        <is>
          <t>Birth Certificate</t>
        </is>
      </c>
      <c r="F59" s="6" t="n">
        <v>1539</v>
      </c>
      <c r="G59" s="6" t="n">
        <v>1421</v>
      </c>
      <c r="H59" s="6" t="n">
        <v>118</v>
      </c>
      <c r="I59" s="8" t="n">
        <v>3.4</v>
      </c>
      <c r="J59" s="8" t="n">
        <v>85.2</v>
      </c>
      <c r="K59" s="9" t="n">
        <v>4.2</v>
      </c>
      <c r="L59" s="6" t="n">
        <v>36</v>
      </c>
      <c r="M59" s="8" t="n">
        <v>92.59999999999999</v>
      </c>
    </row>
    <row r="60">
      <c r="A60" s="6" t="inlineStr">
        <is>
          <t>EG-0056</t>
        </is>
      </c>
      <c r="B60" s="7" t="n">
        <v>46235</v>
      </c>
      <c r="C60" s="6" t="inlineStr">
        <is>
          <t>Telangana</t>
        </is>
      </c>
      <c r="D60" s="6" t="inlineStr">
        <is>
          <t>Certificates</t>
        </is>
      </c>
      <c r="E60" s="6" t="inlineStr">
        <is>
          <t>Income Certificate</t>
        </is>
      </c>
      <c r="F60" s="6" t="n">
        <v>1152</v>
      </c>
      <c r="G60" s="6" t="n">
        <v>965</v>
      </c>
      <c r="H60" s="6" t="n">
        <v>187</v>
      </c>
      <c r="I60" s="8" t="n">
        <v>2.8</v>
      </c>
      <c r="J60" s="8" t="n">
        <v>70.40000000000001</v>
      </c>
      <c r="K60" s="9" t="n">
        <v>3.94</v>
      </c>
      <c r="L60" s="6" t="n">
        <v>22</v>
      </c>
      <c r="M60" s="8" t="n">
        <v>86.2</v>
      </c>
    </row>
    <row r="61">
      <c r="A61" s="6" t="inlineStr">
        <is>
          <t>EG-0057</t>
        </is>
      </c>
      <c r="B61" s="7" t="n">
        <v>46266</v>
      </c>
      <c r="C61" s="6" t="inlineStr">
        <is>
          <t>Telangana</t>
        </is>
      </c>
      <c r="D61" s="6" t="inlineStr">
        <is>
          <t>Licenses</t>
        </is>
      </c>
      <c r="E61" s="6" t="inlineStr">
        <is>
          <t>Trade License</t>
        </is>
      </c>
      <c r="F61" s="6" t="n">
        <v>1009</v>
      </c>
      <c r="G61" s="6" t="n">
        <v>903</v>
      </c>
      <c r="H61" s="6" t="n">
        <v>106</v>
      </c>
      <c r="I61" s="8" t="n">
        <v>4.7</v>
      </c>
      <c r="J61" s="8" t="n">
        <v>76.8</v>
      </c>
      <c r="K61" s="9" t="n">
        <v>4.43</v>
      </c>
      <c r="L61" s="6" t="n">
        <v>21</v>
      </c>
      <c r="M61" s="8" t="n">
        <v>89.3</v>
      </c>
    </row>
    <row r="62">
      <c r="A62" s="6" t="inlineStr">
        <is>
          <t>EG-0058</t>
        </is>
      </c>
      <c r="B62" s="7" t="n">
        <v>46296</v>
      </c>
      <c r="C62" s="6" t="inlineStr">
        <is>
          <t>Telangana</t>
        </is>
      </c>
      <c r="D62" s="6" t="inlineStr">
        <is>
          <t>Welfare</t>
        </is>
      </c>
      <c r="E62" s="6" t="inlineStr">
        <is>
          <t>Scholarship Application</t>
        </is>
      </c>
      <c r="F62" s="6" t="n">
        <v>1557</v>
      </c>
      <c r="G62" s="6" t="n">
        <v>1380</v>
      </c>
      <c r="H62" s="6" t="n">
        <v>177</v>
      </c>
      <c r="I62" s="8" t="n">
        <v>4.4</v>
      </c>
      <c r="J62" s="8" t="n">
        <v>82</v>
      </c>
      <c r="K62" s="9" t="n">
        <v>4.1</v>
      </c>
      <c r="L62" s="6" t="n">
        <v>39</v>
      </c>
      <c r="M62" s="8" t="n">
        <v>86.90000000000001</v>
      </c>
    </row>
    <row r="63">
      <c r="A63" s="6" t="inlineStr">
        <is>
          <t>EG-0059</t>
        </is>
      </c>
      <c r="B63" s="7" t="n">
        <v>46327</v>
      </c>
      <c r="C63" s="6" t="inlineStr">
        <is>
          <t>Telangana</t>
        </is>
      </c>
      <c r="D63" s="6" t="inlineStr">
        <is>
          <t>Welfare</t>
        </is>
      </c>
      <c r="E63" s="6" t="inlineStr">
        <is>
          <t>Pension Application</t>
        </is>
      </c>
      <c r="F63" s="6" t="n">
        <v>1578</v>
      </c>
      <c r="G63" s="6" t="n">
        <v>1369</v>
      </c>
      <c r="H63" s="6" t="n">
        <v>209</v>
      </c>
      <c r="I63" s="8" t="n">
        <v>2.4</v>
      </c>
      <c r="J63" s="8" t="n">
        <v>77.5</v>
      </c>
      <c r="K63" s="9" t="n">
        <v>4.46</v>
      </c>
      <c r="L63" s="6" t="n">
        <v>39</v>
      </c>
      <c r="M63" s="8" t="n">
        <v>86.8</v>
      </c>
    </row>
    <row r="64">
      <c r="A64" s="6" t="inlineStr">
        <is>
          <t>EG-0060</t>
        </is>
      </c>
      <c r="B64" s="7" t="n">
        <v>46357</v>
      </c>
      <c r="C64" s="6" t="inlineStr">
        <is>
          <t>Telangana</t>
        </is>
      </c>
      <c r="D64" s="6" t="inlineStr">
        <is>
          <t>Citizen Services</t>
        </is>
      </c>
      <c r="E64" s="6" t="inlineStr">
        <is>
          <t>Property Tax</t>
        </is>
      </c>
      <c r="F64" s="6" t="n">
        <v>1714</v>
      </c>
      <c r="G64" s="6" t="n">
        <v>1522</v>
      </c>
      <c r="H64" s="6" t="n">
        <v>192</v>
      </c>
      <c r="I64" s="8" t="n">
        <v>5.2</v>
      </c>
      <c r="J64" s="8" t="n">
        <v>73.5</v>
      </c>
      <c r="K64" s="9" t="n">
        <v>4.32</v>
      </c>
      <c r="L64" s="6" t="n">
        <v>49</v>
      </c>
      <c r="M64" s="8" t="n">
        <v>77.8</v>
      </c>
    </row>
    <row r="65">
      <c r="A65" s="6" t="inlineStr">
        <is>
          <t>EG-0061</t>
        </is>
      </c>
      <c r="B65" s="7" t="n">
        <v>46023</v>
      </c>
      <c r="C65" s="6" t="inlineStr">
        <is>
          <t>Kerala</t>
        </is>
      </c>
      <c r="D65" s="6" t="inlineStr">
        <is>
          <t>Certificates</t>
        </is>
      </c>
      <c r="E65" s="6" t="inlineStr">
        <is>
          <t>Birth Certificate</t>
        </is>
      </c>
      <c r="F65" s="6" t="n">
        <v>1004</v>
      </c>
      <c r="G65" s="6" t="n">
        <v>828</v>
      </c>
      <c r="H65" s="6" t="n">
        <v>176</v>
      </c>
      <c r="I65" s="8" t="n">
        <v>6</v>
      </c>
      <c r="J65" s="8" t="n">
        <v>80.09999999999999</v>
      </c>
      <c r="K65" s="9" t="n">
        <v>3.91</v>
      </c>
      <c r="L65" s="6" t="n">
        <v>34</v>
      </c>
      <c r="M65" s="8" t="n">
        <v>90.40000000000001</v>
      </c>
    </row>
    <row r="66">
      <c r="A66" s="6" t="inlineStr">
        <is>
          <t>EG-0062</t>
        </is>
      </c>
      <c r="B66" s="7" t="n">
        <v>46054</v>
      </c>
      <c r="C66" s="6" t="inlineStr">
        <is>
          <t>Kerala</t>
        </is>
      </c>
      <c r="D66" s="6" t="inlineStr">
        <is>
          <t>Certificates</t>
        </is>
      </c>
      <c r="E66" s="6" t="inlineStr">
        <is>
          <t>Income Certificate</t>
        </is>
      </c>
      <c r="F66" s="6" t="n">
        <v>1257</v>
      </c>
      <c r="G66" s="6" t="n">
        <v>1010</v>
      </c>
      <c r="H66" s="6" t="n">
        <v>247</v>
      </c>
      <c r="I66" s="8" t="n">
        <v>2.6</v>
      </c>
      <c r="J66" s="8" t="n">
        <v>87.09999999999999</v>
      </c>
      <c r="K66" s="9" t="n">
        <v>4.58</v>
      </c>
      <c r="L66" s="6" t="n">
        <v>37</v>
      </c>
      <c r="M66" s="8" t="n">
        <v>89.3</v>
      </c>
    </row>
    <row r="67">
      <c r="A67" s="6" t="inlineStr">
        <is>
          <t>EG-0063</t>
        </is>
      </c>
      <c r="B67" s="7" t="n">
        <v>46082</v>
      </c>
      <c r="C67" s="6" t="inlineStr">
        <is>
          <t>Kerala</t>
        </is>
      </c>
      <c r="D67" s="6" t="inlineStr">
        <is>
          <t>Licenses</t>
        </is>
      </c>
      <c r="E67" s="6" t="inlineStr">
        <is>
          <t>Trade License</t>
        </is>
      </c>
      <c r="F67" s="6" t="n">
        <v>1780</v>
      </c>
      <c r="G67" s="6" t="n">
        <v>1506</v>
      </c>
      <c r="H67" s="6" t="n">
        <v>274</v>
      </c>
      <c r="I67" s="8" t="n">
        <v>6.5</v>
      </c>
      <c r="J67" s="8" t="n">
        <v>85.2</v>
      </c>
      <c r="K67" s="9" t="n">
        <v>4.49</v>
      </c>
      <c r="L67" s="6" t="n">
        <v>41</v>
      </c>
      <c r="M67" s="8" t="n">
        <v>90.3</v>
      </c>
    </row>
    <row r="68">
      <c r="A68" s="6" t="inlineStr">
        <is>
          <t>EG-0064</t>
        </is>
      </c>
      <c r="B68" s="7" t="n">
        <v>46113</v>
      </c>
      <c r="C68" s="6" t="inlineStr">
        <is>
          <t>Kerala</t>
        </is>
      </c>
      <c r="D68" s="6" t="inlineStr">
        <is>
          <t>Welfare</t>
        </is>
      </c>
      <c r="E68" s="6" t="inlineStr">
        <is>
          <t>Scholarship Application</t>
        </is>
      </c>
      <c r="F68" s="6" t="n">
        <v>876</v>
      </c>
      <c r="G68" s="6" t="n">
        <v>808</v>
      </c>
      <c r="H68" s="6" t="n">
        <v>68</v>
      </c>
      <c r="I68" s="8" t="n">
        <v>7</v>
      </c>
      <c r="J68" s="8" t="n">
        <v>90.8</v>
      </c>
      <c r="K68" s="9" t="n">
        <v>4.4</v>
      </c>
      <c r="L68" s="6" t="n">
        <v>14</v>
      </c>
      <c r="M68" s="8" t="n">
        <v>84.3</v>
      </c>
    </row>
    <row r="69">
      <c r="A69" s="6" t="inlineStr">
        <is>
          <t>EG-0065</t>
        </is>
      </c>
      <c r="B69" s="7" t="n">
        <v>46143</v>
      </c>
      <c r="C69" s="6" t="inlineStr">
        <is>
          <t>Kerala</t>
        </is>
      </c>
      <c r="D69" s="6" t="inlineStr">
        <is>
          <t>Welfare</t>
        </is>
      </c>
      <c r="E69" s="6" t="inlineStr">
        <is>
          <t>Pension Application</t>
        </is>
      </c>
      <c r="F69" s="6" t="n">
        <v>1834</v>
      </c>
      <c r="G69" s="6" t="n">
        <v>1566</v>
      </c>
      <c r="H69" s="6" t="n">
        <v>268</v>
      </c>
      <c r="I69" s="8" t="n">
        <v>5.4</v>
      </c>
      <c r="J69" s="8" t="n">
        <v>84.7</v>
      </c>
      <c r="K69" s="9" t="n">
        <v>3.98</v>
      </c>
      <c r="L69" s="6" t="n">
        <v>27</v>
      </c>
      <c r="M69" s="8" t="n">
        <v>84</v>
      </c>
    </row>
    <row r="70">
      <c r="A70" s="6" t="inlineStr">
        <is>
          <t>EG-0066</t>
        </is>
      </c>
      <c r="B70" s="7" t="n">
        <v>46174</v>
      </c>
      <c r="C70" s="6" t="inlineStr">
        <is>
          <t>Kerala</t>
        </is>
      </c>
      <c r="D70" s="6" t="inlineStr">
        <is>
          <t>Citizen Services</t>
        </is>
      </c>
      <c r="E70" s="6" t="inlineStr">
        <is>
          <t>Property Tax</t>
        </is>
      </c>
      <c r="F70" s="6" t="n">
        <v>1839</v>
      </c>
      <c r="G70" s="6" t="n">
        <v>1609</v>
      </c>
      <c r="H70" s="6" t="n">
        <v>230</v>
      </c>
      <c r="I70" s="8" t="n">
        <v>7.5</v>
      </c>
      <c r="J70" s="8" t="n">
        <v>83.59999999999999</v>
      </c>
      <c r="K70" s="9" t="n">
        <v>4.27</v>
      </c>
      <c r="L70" s="6" t="n">
        <v>52</v>
      </c>
      <c r="M70" s="8" t="n">
        <v>85.7</v>
      </c>
    </row>
    <row r="71">
      <c r="A71" s="6" t="inlineStr">
        <is>
          <t>EG-0067</t>
        </is>
      </c>
      <c r="B71" s="7" t="n">
        <v>46204</v>
      </c>
      <c r="C71" s="6" t="inlineStr">
        <is>
          <t>Kerala</t>
        </is>
      </c>
      <c r="D71" s="6" t="inlineStr">
        <is>
          <t>Certificates</t>
        </is>
      </c>
      <c r="E71" s="6" t="inlineStr">
        <is>
          <t>Birth Certificate</t>
        </is>
      </c>
      <c r="F71" s="6" t="n">
        <v>1670</v>
      </c>
      <c r="G71" s="6" t="n">
        <v>1416</v>
      </c>
      <c r="H71" s="6" t="n">
        <v>254</v>
      </c>
      <c r="I71" s="8" t="n">
        <v>7.3</v>
      </c>
      <c r="J71" s="8" t="n">
        <v>78.7</v>
      </c>
      <c r="K71" s="9" t="n">
        <v>3.98</v>
      </c>
      <c r="L71" s="6" t="n">
        <v>53</v>
      </c>
      <c r="M71" s="8" t="n">
        <v>82.09999999999999</v>
      </c>
    </row>
    <row r="72">
      <c r="A72" s="6" t="inlineStr">
        <is>
          <t>EG-0068</t>
        </is>
      </c>
      <c r="B72" s="7" t="n">
        <v>46235</v>
      </c>
      <c r="C72" s="6" t="inlineStr">
        <is>
          <t>Kerala</t>
        </is>
      </c>
      <c r="D72" s="6" t="inlineStr">
        <is>
          <t>Certificates</t>
        </is>
      </c>
      <c r="E72" s="6" t="inlineStr">
        <is>
          <t>Income Certificate</t>
        </is>
      </c>
      <c r="F72" s="6" t="n">
        <v>1228</v>
      </c>
      <c r="G72" s="6" t="n">
        <v>1108</v>
      </c>
      <c r="H72" s="6" t="n">
        <v>120</v>
      </c>
      <c r="I72" s="8" t="n">
        <v>5.2</v>
      </c>
      <c r="J72" s="8" t="n">
        <v>85.09999999999999</v>
      </c>
      <c r="K72" s="9" t="n">
        <v>3.89</v>
      </c>
      <c r="L72" s="6" t="n">
        <v>16</v>
      </c>
      <c r="M72" s="8" t="n">
        <v>87.09999999999999</v>
      </c>
    </row>
    <row r="73">
      <c r="A73" s="6" t="inlineStr">
        <is>
          <t>EG-0069</t>
        </is>
      </c>
      <c r="B73" s="7" t="n">
        <v>46266</v>
      </c>
      <c r="C73" s="6" t="inlineStr">
        <is>
          <t>Kerala</t>
        </is>
      </c>
      <c r="D73" s="6" t="inlineStr">
        <is>
          <t>Licenses</t>
        </is>
      </c>
      <c r="E73" s="6" t="inlineStr">
        <is>
          <t>Trade License</t>
        </is>
      </c>
      <c r="F73" s="6" t="n">
        <v>1229</v>
      </c>
      <c r="G73" s="6" t="n">
        <v>1004</v>
      </c>
      <c r="H73" s="6" t="n">
        <v>225</v>
      </c>
      <c r="I73" s="8" t="n">
        <v>4.9</v>
      </c>
      <c r="J73" s="8" t="n">
        <v>83.90000000000001</v>
      </c>
      <c r="K73" s="9" t="n">
        <v>4.01</v>
      </c>
      <c r="L73" s="6" t="n">
        <v>19</v>
      </c>
      <c r="M73" s="8" t="n">
        <v>87.90000000000001</v>
      </c>
    </row>
    <row r="74">
      <c r="A74" s="6" t="inlineStr">
        <is>
          <t>EG-0070</t>
        </is>
      </c>
      <c r="B74" s="7" t="n">
        <v>46296</v>
      </c>
      <c r="C74" s="6" t="inlineStr">
        <is>
          <t>Kerala</t>
        </is>
      </c>
      <c r="D74" s="6" t="inlineStr">
        <is>
          <t>Welfare</t>
        </is>
      </c>
      <c r="E74" s="6" t="inlineStr">
        <is>
          <t>Scholarship Application</t>
        </is>
      </c>
      <c r="F74" s="6" t="n">
        <v>1120</v>
      </c>
      <c r="G74" s="6" t="n">
        <v>885</v>
      </c>
      <c r="H74" s="6" t="n">
        <v>235</v>
      </c>
      <c r="I74" s="8" t="n">
        <v>4.6</v>
      </c>
      <c r="J74" s="8" t="n">
        <v>84.3</v>
      </c>
      <c r="K74" s="9" t="n">
        <v>3.75</v>
      </c>
      <c r="L74" s="6" t="n">
        <v>18</v>
      </c>
      <c r="M74" s="8" t="n">
        <v>88.59999999999999</v>
      </c>
    </row>
    <row r="75">
      <c r="A75" s="6" t="inlineStr">
        <is>
          <t>EG-0071</t>
        </is>
      </c>
      <c r="B75" s="7" t="n">
        <v>46327</v>
      </c>
      <c r="C75" s="6" t="inlineStr">
        <is>
          <t>Kerala</t>
        </is>
      </c>
      <c r="D75" s="6" t="inlineStr">
        <is>
          <t>Welfare</t>
        </is>
      </c>
      <c r="E75" s="6" t="inlineStr">
        <is>
          <t>Pension Application</t>
        </is>
      </c>
      <c r="F75" s="6" t="n">
        <v>1520</v>
      </c>
      <c r="G75" s="6" t="n">
        <v>1280</v>
      </c>
      <c r="H75" s="6" t="n">
        <v>240</v>
      </c>
      <c r="I75" s="8" t="n">
        <v>6.6</v>
      </c>
      <c r="J75" s="8" t="n">
        <v>83.09999999999999</v>
      </c>
      <c r="K75" s="9" t="n">
        <v>3.95</v>
      </c>
      <c r="L75" s="6" t="n">
        <v>49</v>
      </c>
      <c r="M75" s="8" t="n">
        <v>84.90000000000001</v>
      </c>
    </row>
    <row r="76">
      <c r="A76" s="6" t="inlineStr">
        <is>
          <t>EG-0072</t>
        </is>
      </c>
      <c r="B76" s="7" t="n">
        <v>46357</v>
      </c>
      <c r="C76" s="6" t="inlineStr">
        <is>
          <t>Kerala</t>
        </is>
      </c>
      <c r="D76" s="6" t="inlineStr">
        <is>
          <t>Citizen Services</t>
        </is>
      </c>
      <c r="E76" s="6" t="inlineStr">
        <is>
          <t>Property Tax</t>
        </is>
      </c>
      <c r="F76" s="6" t="n">
        <v>1458</v>
      </c>
      <c r="G76" s="6" t="n">
        <v>1206</v>
      </c>
      <c r="H76" s="6" t="n">
        <v>252</v>
      </c>
      <c r="I76" s="8" t="n">
        <v>4.5</v>
      </c>
      <c r="J76" s="8" t="n">
        <v>78.90000000000001</v>
      </c>
      <c r="K76" s="9" t="n">
        <v>4.62</v>
      </c>
      <c r="L76" s="6" t="n">
        <v>35</v>
      </c>
      <c r="M76" s="8" t="n">
        <v>84</v>
      </c>
    </row>
    <row r="77">
      <c r="A77" s="6" t="inlineStr">
        <is>
          <t>EG-0073</t>
        </is>
      </c>
      <c r="B77" s="7" t="n">
        <v>46023</v>
      </c>
      <c r="C77" s="6" t="inlineStr">
        <is>
          <t>Rajasthan</t>
        </is>
      </c>
      <c r="D77" s="6" t="inlineStr">
        <is>
          <t>Certificates</t>
        </is>
      </c>
      <c r="E77" s="6" t="inlineStr">
        <is>
          <t>Birth Certificate</t>
        </is>
      </c>
      <c r="F77" s="6" t="n">
        <v>1720</v>
      </c>
      <c r="G77" s="6" t="n">
        <v>1561</v>
      </c>
      <c r="H77" s="6" t="n">
        <v>159</v>
      </c>
      <c r="I77" s="8" t="n">
        <v>7.2</v>
      </c>
      <c r="J77" s="8" t="n">
        <v>74.2</v>
      </c>
      <c r="K77" s="9" t="n">
        <v>3.94</v>
      </c>
      <c r="L77" s="6" t="n">
        <v>39</v>
      </c>
      <c r="M77" s="8" t="n">
        <v>84.3</v>
      </c>
    </row>
    <row r="78">
      <c r="A78" s="6" t="inlineStr">
        <is>
          <t>EG-0074</t>
        </is>
      </c>
      <c r="B78" s="7" t="n">
        <v>46054</v>
      </c>
      <c r="C78" s="6" t="inlineStr">
        <is>
          <t>Rajasthan</t>
        </is>
      </c>
      <c r="D78" s="6" t="inlineStr">
        <is>
          <t>Certificates</t>
        </is>
      </c>
      <c r="E78" s="6" t="inlineStr">
        <is>
          <t>Income Certificate</t>
        </is>
      </c>
      <c r="F78" s="6" t="n">
        <v>1515</v>
      </c>
      <c r="G78" s="6" t="n">
        <v>1357</v>
      </c>
      <c r="H78" s="6" t="n">
        <v>158</v>
      </c>
      <c r="I78" s="8" t="n">
        <v>6.9</v>
      </c>
      <c r="J78" s="8" t="n">
        <v>84.7</v>
      </c>
      <c r="K78" s="9" t="n">
        <v>4.81</v>
      </c>
      <c r="L78" s="6" t="n">
        <v>36</v>
      </c>
      <c r="M78" s="8" t="n">
        <v>83.2</v>
      </c>
    </row>
    <row r="79">
      <c r="A79" s="6" t="inlineStr">
        <is>
          <t>EG-0075</t>
        </is>
      </c>
      <c r="B79" s="7" t="n">
        <v>46082</v>
      </c>
      <c r="C79" s="6" t="inlineStr">
        <is>
          <t>Rajasthan</t>
        </is>
      </c>
      <c r="D79" s="6" t="inlineStr">
        <is>
          <t>Licenses</t>
        </is>
      </c>
      <c r="E79" s="6" t="inlineStr">
        <is>
          <t>Trade License</t>
        </is>
      </c>
      <c r="F79" s="6" t="n">
        <v>1510</v>
      </c>
      <c r="G79" s="6" t="n">
        <v>1320</v>
      </c>
      <c r="H79" s="6" t="n">
        <v>190</v>
      </c>
      <c r="I79" s="8" t="n">
        <v>6.7</v>
      </c>
      <c r="J79" s="8" t="n">
        <v>84.5</v>
      </c>
      <c r="K79" s="9" t="n">
        <v>4.15</v>
      </c>
      <c r="L79" s="6" t="n">
        <v>48</v>
      </c>
      <c r="M79" s="8" t="n">
        <v>91.59999999999999</v>
      </c>
    </row>
    <row r="80">
      <c r="A80" s="6" t="inlineStr">
        <is>
          <t>EG-0076</t>
        </is>
      </c>
      <c r="B80" s="7" t="n">
        <v>46113</v>
      </c>
      <c r="C80" s="6" t="inlineStr">
        <is>
          <t>Rajasthan</t>
        </is>
      </c>
      <c r="D80" s="6" t="inlineStr">
        <is>
          <t>Welfare</t>
        </is>
      </c>
      <c r="E80" s="6" t="inlineStr">
        <is>
          <t>Scholarship Application</t>
        </is>
      </c>
      <c r="F80" s="6" t="n">
        <v>1376</v>
      </c>
      <c r="G80" s="6" t="n">
        <v>1119</v>
      </c>
      <c r="H80" s="6" t="n">
        <v>257</v>
      </c>
      <c r="I80" s="8" t="n">
        <v>4.2</v>
      </c>
      <c r="J80" s="8" t="n">
        <v>83.2</v>
      </c>
      <c r="K80" s="9" t="n">
        <v>4.12</v>
      </c>
      <c r="L80" s="6" t="n">
        <v>40</v>
      </c>
      <c r="M80" s="8" t="n">
        <v>85.09999999999999</v>
      </c>
    </row>
    <row r="81">
      <c r="A81" s="6" t="inlineStr">
        <is>
          <t>EG-0077</t>
        </is>
      </c>
      <c r="B81" s="7" t="n">
        <v>46143</v>
      </c>
      <c r="C81" s="6" t="inlineStr">
        <is>
          <t>Rajasthan</t>
        </is>
      </c>
      <c r="D81" s="6" t="inlineStr">
        <is>
          <t>Welfare</t>
        </is>
      </c>
      <c r="E81" s="6" t="inlineStr">
        <is>
          <t>Pension Application</t>
        </is>
      </c>
      <c r="F81" s="6" t="n">
        <v>1503</v>
      </c>
      <c r="G81" s="6" t="n">
        <v>1233</v>
      </c>
      <c r="H81" s="6" t="n">
        <v>270</v>
      </c>
      <c r="I81" s="8" t="n">
        <v>2.8</v>
      </c>
      <c r="J81" s="8" t="n">
        <v>86.40000000000001</v>
      </c>
      <c r="K81" s="9" t="n">
        <v>4.15</v>
      </c>
      <c r="L81" s="6" t="n">
        <v>52</v>
      </c>
      <c r="M81" s="8" t="n">
        <v>85.7</v>
      </c>
    </row>
    <row r="82">
      <c r="A82" s="6" t="inlineStr">
        <is>
          <t>EG-0078</t>
        </is>
      </c>
      <c r="B82" s="7" t="n">
        <v>46174</v>
      </c>
      <c r="C82" s="6" t="inlineStr">
        <is>
          <t>Rajasthan</t>
        </is>
      </c>
      <c r="D82" s="6" t="inlineStr">
        <is>
          <t>Citizen Services</t>
        </is>
      </c>
      <c r="E82" s="6" t="inlineStr">
        <is>
          <t>Property Tax</t>
        </is>
      </c>
      <c r="F82" s="6" t="n">
        <v>805</v>
      </c>
      <c r="G82" s="6" t="n">
        <v>725</v>
      </c>
      <c r="H82" s="6" t="n">
        <v>80</v>
      </c>
      <c r="I82" s="8" t="n">
        <v>7.5</v>
      </c>
      <c r="J82" s="8" t="n">
        <v>86</v>
      </c>
      <c r="K82" s="9" t="n">
        <v>3.92</v>
      </c>
      <c r="L82" s="6" t="n">
        <v>12</v>
      </c>
      <c r="M82" s="8" t="n">
        <v>91</v>
      </c>
    </row>
    <row r="83">
      <c r="A83" s="6" t="inlineStr">
        <is>
          <t>EG-0079</t>
        </is>
      </c>
      <c r="B83" s="7" t="n">
        <v>46204</v>
      </c>
      <c r="C83" s="6" t="inlineStr">
        <is>
          <t>Rajasthan</t>
        </is>
      </c>
      <c r="D83" s="6" t="inlineStr">
        <is>
          <t>Certificates</t>
        </is>
      </c>
      <c r="E83" s="6" t="inlineStr">
        <is>
          <t>Birth Certificate</t>
        </is>
      </c>
      <c r="F83" s="6" t="n">
        <v>911</v>
      </c>
      <c r="G83" s="6" t="n">
        <v>779</v>
      </c>
      <c r="H83" s="6" t="n">
        <v>132</v>
      </c>
      <c r="I83" s="8" t="n">
        <v>3</v>
      </c>
      <c r="J83" s="8" t="n">
        <v>85.40000000000001</v>
      </c>
      <c r="K83" s="9" t="n">
        <v>3.97</v>
      </c>
      <c r="L83" s="6" t="n">
        <v>16</v>
      </c>
      <c r="M83" s="8" t="n">
        <v>85.40000000000001</v>
      </c>
    </row>
    <row r="84">
      <c r="A84" s="6" t="inlineStr">
        <is>
          <t>EG-0080</t>
        </is>
      </c>
      <c r="B84" s="7" t="n">
        <v>46235</v>
      </c>
      <c r="C84" s="6" t="inlineStr">
        <is>
          <t>Rajasthan</t>
        </is>
      </c>
      <c r="D84" s="6" t="inlineStr">
        <is>
          <t>Certificates</t>
        </is>
      </c>
      <c r="E84" s="6" t="inlineStr">
        <is>
          <t>Income Certificate</t>
        </is>
      </c>
      <c r="F84" s="6" t="n">
        <v>865</v>
      </c>
      <c r="G84" s="6" t="n">
        <v>782</v>
      </c>
      <c r="H84" s="6" t="n">
        <v>83</v>
      </c>
      <c r="I84" s="8" t="n">
        <v>3.3</v>
      </c>
      <c r="J84" s="8" t="n">
        <v>85</v>
      </c>
      <c r="K84" s="9" t="n">
        <v>3.93</v>
      </c>
      <c r="L84" s="6" t="n">
        <v>28</v>
      </c>
      <c r="M84" s="8" t="n">
        <v>96.09999999999999</v>
      </c>
    </row>
    <row r="85">
      <c r="A85" s="6" t="inlineStr">
        <is>
          <t>EG-0081</t>
        </is>
      </c>
      <c r="B85" s="7" t="n">
        <v>46266</v>
      </c>
      <c r="C85" s="6" t="inlineStr">
        <is>
          <t>Rajasthan</t>
        </is>
      </c>
      <c r="D85" s="6" t="inlineStr">
        <is>
          <t>Licenses</t>
        </is>
      </c>
      <c r="E85" s="6" t="inlineStr">
        <is>
          <t>Trade License</t>
        </is>
      </c>
      <c r="F85" s="6" t="n">
        <v>1568</v>
      </c>
      <c r="G85" s="6" t="n">
        <v>1392</v>
      </c>
      <c r="H85" s="6" t="n">
        <v>176</v>
      </c>
      <c r="I85" s="8" t="n">
        <v>8.300000000000001</v>
      </c>
      <c r="J85" s="8" t="n">
        <v>71.40000000000001</v>
      </c>
      <c r="K85" s="9" t="n">
        <v>4.17</v>
      </c>
      <c r="L85" s="6" t="n">
        <v>21</v>
      </c>
      <c r="M85" s="8" t="n">
        <v>87.40000000000001</v>
      </c>
    </row>
    <row r="86">
      <c r="A86" s="6" t="inlineStr">
        <is>
          <t>EG-0082</t>
        </is>
      </c>
      <c r="B86" s="7" t="n">
        <v>46296</v>
      </c>
      <c r="C86" s="6" t="inlineStr">
        <is>
          <t>Rajasthan</t>
        </is>
      </c>
      <c r="D86" s="6" t="inlineStr">
        <is>
          <t>Welfare</t>
        </is>
      </c>
      <c r="E86" s="6" t="inlineStr">
        <is>
          <t>Scholarship Application</t>
        </is>
      </c>
      <c r="F86" s="6" t="n">
        <v>845</v>
      </c>
      <c r="G86" s="6" t="n">
        <v>753</v>
      </c>
      <c r="H86" s="6" t="n">
        <v>92</v>
      </c>
      <c r="I86" s="8" t="n">
        <v>4</v>
      </c>
      <c r="J86" s="8" t="n">
        <v>71.2</v>
      </c>
      <c r="K86" s="9" t="n">
        <v>3.85</v>
      </c>
      <c r="L86" s="6" t="n">
        <v>25</v>
      </c>
      <c r="M86" s="8" t="n">
        <v>81.7</v>
      </c>
    </row>
    <row r="87">
      <c r="A87" s="6" t="inlineStr">
        <is>
          <t>EG-0083</t>
        </is>
      </c>
      <c r="B87" s="7" t="n">
        <v>46327</v>
      </c>
      <c r="C87" s="6" t="inlineStr">
        <is>
          <t>Rajasthan</t>
        </is>
      </c>
      <c r="D87" s="6" t="inlineStr">
        <is>
          <t>Welfare</t>
        </is>
      </c>
      <c r="E87" s="6" t="inlineStr">
        <is>
          <t>Pension Application</t>
        </is>
      </c>
      <c r="F87" s="6" t="n">
        <v>1620</v>
      </c>
      <c r="G87" s="6" t="n">
        <v>1466</v>
      </c>
      <c r="H87" s="6" t="n">
        <v>154</v>
      </c>
      <c r="I87" s="8" t="n">
        <v>4.3</v>
      </c>
      <c r="J87" s="8" t="n">
        <v>73.8</v>
      </c>
      <c r="K87" s="9" t="n">
        <v>4.25</v>
      </c>
      <c r="L87" s="6" t="n">
        <v>38</v>
      </c>
      <c r="M87" s="8" t="n">
        <v>84.7</v>
      </c>
    </row>
    <row r="88">
      <c r="A88" s="6" t="inlineStr">
        <is>
          <t>EG-0084</t>
        </is>
      </c>
      <c r="B88" s="7" t="n">
        <v>46357</v>
      </c>
      <c r="C88" s="6" t="inlineStr">
        <is>
          <t>Rajasthan</t>
        </is>
      </c>
      <c r="D88" s="6" t="inlineStr">
        <is>
          <t>Citizen Services</t>
        </is>
      </c>
      <c r="E88" s="6" t="inlineStr">
        <is>
          <t>Property Tax</t>
        </is>
      </c>
      <c r="F88" s="6" t="n">
        <v>1560</v>
      </c>
      <c r="G88" s="6" t="n">
        <v>1243</v>
      </c>
      <c r="H88" s="6" t="n">
        <v>317</v>
      </c>
      <c r="I88" s="8" t="n">
        <v>7.6</v>
      </c>
      <c r="J88" s="8" t="n">
        <v>88.8</v>
      </c>
      <c r="K88" s="9" t="n">
        <v>3.46</v>
      </c>
      <c r="L88" s="6" t="n">
        <v>44</v>
      </c>
      <c r="M88" s="8" t="n">
        <v>82.90000000000001</v>
      </c>
    </row>
    <row r="89">
      <c r="A89" s="6" t="inlineStr">
        <is>
          <t>EG-0085</t>
        </is>
      </c>
      <c r="B89" s="7" t="n">
        <v>46023</v>
      </c>
      <c r="C89" s="6" t="inlineStr">
        <is>
          <t>Uttar Pradesh</t>
        </is>
      </c>
      <c r="D89" s="6" t="inlineStr">
        <is>
          <t>Certificates</t>
        </is>
      </c>
      <c r="E89" s="6" t="inlineStr">
        <is>
          <t>Birth Certificate</t>
        </is>
      </c>
      <c r="F89" s="6" t="n">
        <v>2328</v>
      </c>
      <c r="G89" s="6" t="n">
        <v>1881</v>
      </c>
      <c r="H89" s="6" t="n">
        <v>447</v>
      </c>
      <c r="I89" s="8" t="n">
        <v>5.2</v>
      </c>
      <c r="J89" s="8" t="n">
        <v>74.09999999999999</v>
      </c>
      <c r="K89" s="9" t="n">
        <v>3.69</v>
      </c>
      <c r="L89" s="6" t="n">
        <v>77</v>
      </c>
      <c r="M89" s="8" t="n">
        <v>90.90000000000001</v>
      </c>
    </row>
    <row r="90">
      <c r="A90" s="6" t="inlineStr">
        <is>
          <t>EG-0086</t>
        </is>
      </c>
      <c r="B90" s="7" t="n">
        <v>46054</v>
      </c>
      <c r="C90" s="6" t="inlineStr">
        <is>
          <t>Uttar Pradesh</t>
        </is>
      </c>
      <c r="D90" s="6" t="inlineStr">
        <is>
          <t>Certificates</t>
        </is>
      </c>
      <c r="E90" s="6" t="inlineStr">
        <is>
          <t>Income Certificate</t>
        </is>
      </c>
      <c r="F90" s="6" t="n">
        <v>2824</v>
      </c>
      <c r="G90" s="6" t="n">
        <v>2323</v>
      </c>
      <c r="H90" s="6" t="n">
        <v>501</v>
      </c>
      <c r="I90" s="8" t="n">
        <v>7</v>
      </c>
      <c r="J90" s="8" t="n">
        <v>72.40000000000001</v>
      </c>
      <c r="K90" s="9" t="n">
        <v>4.01</v>
      </c>
      <c r="L90" s="6" t="n">
        <v>91</v>
      </c>
      <c r="M90" s="8" t="n">
        <v>88.09999999999999</v>
      </c>
    </row>
    <row r="91">
      <c r="A91" s="6" t="inlineStr">
        <is>
          <t>EG-0087</t>
        </is>
      </c>
      <c r="B91" s="7" t="n">
        <v>46082</v>
      </c>
      <c r="C91" s="6" t="inlineStr">
        <is>
          <t>Uttar Pradesh</t>
        </is>
      </c>
      <c r="D91" s="6" t="inlineStr">
        <is>
          <t>Licenses</t>
        </is>
      </c>
      <c r="E91" s="6" t="inlineStr">
        <is>
          <t>Trade License</t>
        </is>
      </c>
      <c r="F91" s="6" t="n">
        <v>1888</v>
      </c>
      <c r="G91" s="6" t="n">
        <v>1699</v>
      </c>
      <c r="H91" s="6" t="n">
        <v>189</v>
      </c>
      <c r="I91" s="8" t="n">
        <v>6.2</v>
      </c>
      <c r="J91" s="8" t="n">
        <v>76.3</v>
      </c>
      <c r="K91" s="9" t="n">
        <v>3.73</v>
      </c>
      <c r="L91" s="6" t="n">
        <v>44</v>
      </c>
      <c r="M91" s="8" t="n">
        <v>87.40000000000001</v>
      </c>
    </row>
    <row r="92">
      <c r="A92" s="6" t="inlineStr">
        <is>
          <t>EG-0088</t>
        </is>
      </c>
      <c r="B92" s="7" t="n">
        <v>46113</v>
      </c>
      <c r="C92" s="6" t="inlineStr">
        <is>
          <t>Uttar Pradesh</t>
        </is>
      </c>
      <c r="D92" s="6" t="inlineStr">
        <is>
          <t>Welfare</t>
        </is>
      </c>
      <c r="E92" s="6" t="inlineStr">
        <is>
          <t>Scholarship Application</t>
        </is>
      </c>
      <c r="F92" s="6" t="n">
        <v>2173</v>
      </c>
      <c r="G92" s="6" t="n">
        <v>1972</v>
      </c>
      <c r="H92" s="6" t="n">
        <v>201</v>
      </c>
      <c r="I92" s="8" t="n">
        <v>4.2</v>
      </c>
      <c r="J92" s="8" t="n">
        <v>85.2</v>
      </c>
      <c r="K92" s="9" t="n">
        <v>4.5</v>
      </c>
      <c r="L92" s="6" t="n">
        <v>39</v>
      </c>
      <c r="M92" s="8" t="n">
        <v>84.7</v>
      </c>
    </row>
    <row r="93">
      <c r="A93" s="6" t="inlineStr">
        <is>
          <t>EG-0089</t>
        </is>
      </c>
      <c r="B93" s="7" t="n">
        <v>46143</v>
      </c>
      <c r="C93" s="6" t="inlineStr">
        <is>
          <t>Uttar Pradesh</t>
        </is>
      </c>
      <c r="D93" s="6" t="inlineStr">
        <is>
          <t>Welfare</t>
        </is>
      </c>
      <c r="E93" s="6" t="inlineStr">
        <is>
          <t>Pension Application</t>
        </is>
      </c>
      <c r="F93" s="6" t="n">
        <v>1196</v>
      </c>
      <c r="G93" s="6" t="n">
        <v>1031</v>
      </c>
      <c r="H93" s="6" t="n">
        <v>165</v>
      </c>
      <c r="I93" s="8" t="n">
        <v>3.4</v>
      </c>
      <c r="J93" s="8" t="n">
        <v>79.3</v>
      </c>
      <c r="K93" s="9" t="n">
        <v>4.46</v>
      </c>
      <c r="L93" s="6" t="n">
        <v>29</v>
      </c>
      <c r="M93" s="8" t="n">
        <v>90.3</v>
      </c>
    </row>
    <row r="94">
      <c r="A94" s="6" t="inlineStr">
        <is>
          <t>EG-0090</t>
        </is>
      </c>
      <c r="B94" s="7" t="n">
        <v>46174</v>
      </c>
      <c r="C94" s="6" t="inlineStr">
        <is>
          <t>Uttar Pradesh</t>
        </is>
      </c>
      <c r="D94" s="6" t="inlineStr">
        <is>
          <t>Citizen Services</t>
        </is>
      </c>
      <c r="E94" s="6" t="inlineStr">
        <is>
          <t>Property Tax</t>
        </is>
      </c>
      <c r="F94" s="6" t="n">
        <v>2381</v>
      </c>
      <c r="G94" s="6" t="n">
        <v>2027</v>
      </c>
      <c r="H94" s="6" t="n">
        <v>354</v>
      </c>
      <c r="I94" s="8" t="n">
        <v>2.5</v>
      </c>
      <c r="J94" s="8" t="n">
        <v>85.8</v>
      </c>
      <c r="K94" s="9" t="n">
        <v>4</v>
      </c>
      <c r="L94" s="6" t="n">
        <v>41</v>
      </c>
      <c r="M94" s="8" t="n">
        <v>94.90000000000001</v>
      </c>
    </row>
    <row r="95">
      <c r="A95" s="6" t="inlineStr">
        <is>
          <t>EG-0091</t>
        </is>
      </c>
      <c r="B95" s="7" t="n">
        <v>46204</v>
      </c>
      <c r="C95" s="6" t="inlineStr">
        <is>
          <t>Uttar Pradesh</t>
        </is>
      </c>
      <c r="D95" s="6" t="inlineStr">
        <is>
          <t>Certificates</t>
        </is>
      </c>
      <c r="E95" s="6" t="inlineStr">
        <is>
          <t>Birth Certificate</t>
        </is>
      </c>
      <c r="F95" s="6" t="n">
        <v>2509</v>
      </c>
      <c r="G95" s="6" t="n">
        <v>2105</v>
      </c>
      <c r="H95" s="6" t="n">
        <v>404</v>
      </c>
      <c r="I95" s="8" t="n">
        <v>5.4</v>
      </c>
      <c r="J95" s="8" t="n">
        <v>67.8</v>
      </c>
      <c r="K95" s="9" t="n">
        <v>5</v>
      </c>
      <c r="L95" s="6" t="n">
        <v>61</v>
      </c>
      <c r="M95" s="8" t="n">
        <v>86.7</v>
      </c>
    </row>
    <row r="96">
      <c r="A96" s="6" t="inlineStr">
        <is>
          <t>EG-0092</t>
        </is>
      </c>
      <c r="B96" s="7" t="n">
        <v>46235</v>
      </c>
      <c r="C96" s="6" t="inlineStr">
        <is>
          <t>Uttar Pradesh</t>
        </is>
      </c>
      <c r="D96" s="6" t="inlineStr">
        <is>
          <t>Certificates</t>
        </is>
      </c>
      <c r="E96" s="6" t="inlineStr">
        <is>
          <t>Income Certificate</t>
        </is>
      </c>
      <c r="F96" s="6" t="n">
        <v>1776</v>
      </c>
      <c r="G96" s="6" t="n">
        <v>1456</v>
      </c>
      <c r="H96" s="6" t="n">
        <v>320</v>
      </c>
      <c r="I96" s="8" t="n">
        <v>3.1</v>
      </c>
      <c r="J96" s="8" t="n">
        <v>84.3</v>
      </c>
      <c r="K96" s="9" t="n">
        <v>4.16</v>
      </c>
      <c r="L96" s="6" t="n">
        <v>43</v>
      </c>
      <c r="M96" s="8" t="n">
        <v>92.40000000000001</v>
      </c>
    </row>
    <row r="97">
      <c r="A97" s="6" t="inlineStr">
        <is>
          <t>EG-0093</t>
        </is>
      </c>
      <c r="B97" s="7" t="n">
        <v>46266</v>
      </c>
      <c r="C97" s="6" t="inlineStr">
        <is>
          <t>Uttar Pradesh</t>
        </is>
      </c>
      <c r="D97" s="6" t="inlineStr">
        <is>
          <t>Licenses</t>
        </is>
      </c>
      <c r="E97" s="6" t="inlineStr">
        <is>
          <t>Trade License</t>
        </is>
      </c>
      <c r="F97" s="6" t="n">
        <v>1470</v>
      </c>
      <c r="G97" s="6" t="n">
        <v>1191</v>
      </c>
      <c r="H97" s="6" t="n">
        <v>279</v>
      </c>
      <c r="I97" s="8" t="n">
        <v>7.1</v>
      </c>
      <c r="J97" s="8" t="n">
        <v>77.7</v>
      </c>
      <c r="K97" s="9" t="n">
        <v>4.39</v>
      </c>
      <c r="L97" s="6" t="n">
        <v>43</v>
      </c>
      <c r="M97" s="8" t="n">
        <v>78.5</v>
      </c>
    </row>
    <row r="98">
      <c r="A98" s="6" t="inlineStr">
        <is>
          <t>EG-0094</t>
        </is>
      </c>
      <c r="B98" s="7" t="n">
        <v>46296</v>
      </c>
      <c r="C98" s="6" t="inlineStr">
        <is>
          <t>Uttar Pradesh</t>
        </is>
      </c>
      <c r="D98" s="6" t="inlineStr">
        <is>
          <t>Welfare</t>
        </is>
      </c>
      <c r="E98" s="6" t="inlineStr">
        <is>
          <t>Scholarship Application</t>
        </is>
      </c>
      <c r="F98" s="6" t="n">
        <v>1508</v>
      </c>
      <c r="G98" s="6" t="n">
        <v>1247</v>
      </c>
      <c r="H98" s="6" t="n">
        <v>261</v>
      </c>
      <c r="I98" s="8" t="n">
        <v>4.3</v>
      </c>
      <c r="J98" s="8" t="n">
        <v>69.40000000000001</v>
      </c>
      <c r="K98" s="9" t="n">
        <v>3.92</v>
      </c>
      <c r="L98" s="6" t="n">
        <v>22</v>
      </c>
      <c r="M98" s="8" t="n">
        <v>97.40000000000001</v>
      </c>
    </row>
    <row r="99">
      <c r="A99" s="6" t="inlineStr">
        <is>
          <t>EG-0095</t>
        </is>
      </c>
      <c r="B99" s="7" t="n">
        <v>46327</v>
      </c>
      <c r="C99" s="6" t="inlineStr">
        <is>
          <t>Uttar Pradesh</t>
        </is>
      </c>
      <c r="D99" s="6" t="inlineStr">
        <is>
          <t>Welfare</t>
        </is>
      </c>
      <c r="E99" s="6" t="inlineStr">
        <is>
          <t>Pension Application</t>
        </is>
      </c>
      <c r="F99" s="6" t="n">
        <v>1191</v>
      </c>
      <c r="G99" s="6" t="n">
        <v>1114</v>
      </c>
      <c r="H99" s="6" t="n">
        <v>77</v>
      </c>
      <c r="I99" s="8" t="n">
        <v>5.4</v>
      </c>
      <c r="J99" s="8" t="n">
        <v>78</v>
      </c>
      <c r="K99" s="9" t="n">
        <v>3.9</v>
      </c>
      <c r="L99" s="6" t="n">
        <v>38</v>
      </c>
      <c r="M99" s="8" t="n">
        <v>79.90000000000001</v>
      </c>
    </row>
    <row r="100">
      <c r="A100" s="6" t="inlineStr">
        <is>
          <t>EG-0096</t>
        </is>
      </c>
      <c r="B100" s="7" t="n">
        <v>46357</v>
      </c>
      <c r="C100" s="6" t="inlineStr">
        <is>
          <t>Uttar Pradesh</t>
        </is>
      </c>
      <c r="D100" s="6" t="inlineStr">
        <is>
          <t>Citizen Services</t>
        </is>
      </c>
      <c r="E100" s="6" t="inlineStr">
        <is>
          <t>Property Tax</t>
        </is>
      </c>
      <c r="F100" s="6" t="n">
        <v>2593</v>
      </c>
      <c r="G100" s="6" t="n">
        <v>2140</v>
      </c>
      <c r="H100" s="6" t="n">
        <v>453</v>
      </c>
      <c r="I100" s="8" t="n">
        <v>5</v>
      </c>
      <c r="J100" s="8" t="n">
        <v>79.7</v>
      </c>
      <c r="K100" s="9" t="n">
        <v>3.61</v>
      </c>
      <c r="L100" s="6" t="n">
        <v>46</v>
      </c>
      <c r="M100" s="8" t="n">
        <v>99</v>
      </c>
    </row>
    <row r="101">
      <c r="A101" s="6" t="inlineStr">
        <is>
          <t>EG-0097</t>
        </is>
      </c>
      <c r="B101" s="7" t="n">
        <v>46023</v>
      </c>
      <c r="C101" s="6" t="inlineStr">
        <is>
          <t>Delhi</t>
        </is>
      </c>
      <c r="D101" s="6" t="inlineStr">
        <is>
          <t>Certificates</t>
        </is>
      </c>
      <c r="E101" s="6" t="inlineStr">
        <is>
          <t>Birth Certificate</t>
        </is>
      </c>
      <c r="F101" s="6" t="n">
        <v>1464</v>
      </c>
      <c r="G101" s="6" t="n">
        <v>1168</v>
      </c>
      <c r="H101" s="6" t="n">
        <v>296</v>
      </c>
      <c r="I101" s="8" t="n">
        <v>2.8</v>
      </c>
      <c r="J101" s="8" t="n">
        <v>74.09999999999999</v>
      </c>
      <c r="K101" s="9" t="n">
        <v>4.12</v>
      </c>
      <c r="L101" s="6" t="n">
        <v>40</v>
      </c>
      <c r="M101" s="8" t="n">
        <v>95.3</v>
      </c>
    </row>
    <row r="102">
      <c r="A102" s="6" t="inlineStr">
        <is>
          <t>EG-0098</t>
        </is>
      </c>
      <c r="B102" s="7" t="n">
        <v>46054</v>
      </c>
      <c r="C102" s="6" t="inlineStr">
        <is>
          <t>Delhi</t>
        </is>
      </c>
      <c r="D102" s="6" t="inlineStr">
        <is>
          <t>Certificates</t>
        </is>
      </c>
      <c r="E102" s="6" t="inlineStr">
        <is>
          <t>Income Certificate</t>
        </is>
      </c>
      <c r="F102" s="6" t="n">
        <v>1220</v>
      </c>
      <c r="G102" s="6" t="n">
        <v>968</v>
      </c>
      <c r="H102" s="6" t="n">
        <v>252</v>
      </c>
      <c r="I102" s="8" t="n">
        <v>3.7</v>
      </c>
      <c r="J102" s="8" t="n">
        <v>90.90000000000001</v>
      </c>
      <c r="K102" s="9" t="n">
        <v>3.76</v>
      </c>
      <c r="L102" s="6" t="n">
        <v>31</v>
      </c>
      <c r="M102" s="8" t="n">
        <v>88.09999999999999</v>
      </c>
    </row>
    <row r="103">
      <c r="A103" s="6" t="inlineStr">
        <is>
          <t>EG-0099</t>
        </is>
      </c>
      <c r="B103" s="7" t="n">
        <v>46082</v>
      </c>
      <c r="C103" s="6" t="inlineStr">
        <is>
          <t>Delhi</t>
        </is>
      </c>
      <c r="D103" s="6" t="inlineStr">
        <is>
          <t>Licenses</t>
        </is>
      </c>
      <c r="E103" s="6" t="inlineStr">
        <is>
          <t>Trade License</t>
        </is>
      </c>
      <c r="F103" s="6" t="n">
        <v>1754</v>
      </c>
      <c r="G103" s="6" t="n">
        <v>1431</v>
      </c>
      <c r="H103" s="6" t="n">
        <v>323</v>
      </c>
      <c r="I103" s="8" t="n">
        <v>5.9</v>
      </c>
      <c r="J103" s="8" t="n">
        <v>75.8</v>
      </c>
      <c r="K103" s="9" t="n">
        <v>4.14</v>
      </c>
      <c r="L103" s="6" t="n">
        <v>55</v>
      </c>
      <c r="M103" s="8" t="n">
        <v>94.3</v>
      </c>
    </row>
    <row r="104">
      <c r="A104" s="6" t="inlineStr">
        <is>
          <t>EG-0100</t>
        </is>
      </c>
      <c r="B104" s="7" t="n">
        <v>46113</v>
      </c>
      <c r="C104" s="6" t="inlineStr">
        <is>
          <t>Delhi</t>
        </is>
      </c>
      <c r="D104" s="6" t="inlineStr">
        <is>
          <t>Welfare</t>
        </is>
      </c>
      <c r="E104" s="6" t="inlineStr">
        <is>
          <t>Scholarship Application</t>
        </is>
      </c>
      <c r="F104" s="6" t="n">
        <v>1741</v>
      </c>
      <c r="G104" s="6" t="n">
        <v>1374</v>
      </c>
      <c r="H104" s="6" t="n">
        <v>367</v>
      </c>
      <c r="I104" s="8" t="n">
        <v>7.6</v>
      </c>
      <c r="J104" s="8" t="n">
        <v>81.7</v>
      </c>
      <c r="K104" s="9" t="n">
        <v>4.37</v>
      </c>
      <c r="L104" s="6" t="n">
        <v>45</v>
      </c>
      <c r="M104" s="8" t="n">
        <v>95</v>
      </c>
    </row>
    <row r="105">
      <c r="A105" s="6" t="inlineStr">
        <is>
          <t>EG-0101</t>
        </is>
      </c>
      <c r="B105" s="7" t="n">
        <v>46143</v>
      </c>
      <c r="C105" s="6" t="inlineStr">
        <is>
          <t>Delhi</t>
        </is>
      </c>
      <c r="D105" s="6" t="inlineStr">
        <is>
          <t>Welfare</t>
        </is>
      </c>
      <c r="E105" s="6" t="inlineStr">
        <is>
          <t>Pension Application</t>
        </is>
      </c>
      <c r="F105" s="6" t="n">
        <v>1123</v>
      </c>
      <c r="G105" s="6" t="n">
        <v>994</v>
      </c>
      <c r="H105" s="6" t="n">
        <v>129</v>
      </c>
      <c r="I105" s="8" t="n">
        <v>3.2</v>
      </c>
      <c r="J105" s="8" t="n">
        <v>83.09999999999999</v>
      </c>
      <c r="K105" s="9" t="n">
        <v>4.22</v>
      </c>
      <c r="L105" s="6" t="n">
        <v>13</v>
      </c>
      <c r="M105" s="8" t="n">
        <v>83.59999999999999</v>
      </c>
    </row>
    <row r="106">
      <c r="A106" s="6" t="inlineStr">
        <is>
          <t>EG-0102</t>
        </is>
      </c>
      <c r="B106" s="7" t="n">
        <v>46174</v>
      </c>
      <c r="C106" s="6" t="inlineStr">
        <is>
          <t>Delhi</t>
        </is>
      </c>
      <c r="D106" s="6" t="inlineStr">
        <is>
          <t>Citizen Services</t>
        </is>
      </c>
      <c r="E106" s="6" t="inlineStr">
        <is>
          <t>Property Tax</t>
        </is>
      </c>
      <c r="F106" s="6" t="n">
        <v>1122</v>
      </c>
      <c r="G106" s="6" t="n">
        <v>881</v>
      </c>
      <c r="H106" s="6" t="n">
        <v>241</v>
      </c>
      <c r="I106" s="8" t="n">
        <v>4</v>
      </c>
      <c r="J106" s="8" t="n">
        <v>84.5</v>
      </c>
      <c r="K106" s="9" t="n">
        <v>3.96</v>
      </c>
      <c r="L106" s="6" t="n">
        <v>15</v>
      </c>
      <c r="M106" s="8" t="n">
        <v>99</v>
      </c>
    </row>
    <row r="107">
      <c r="A107" s="6" t="inlineStr">
        <is>
          <t>EG-0103</t>
        </is>
      </c>
      <c r="B107" s="7" t="n">
        <v>46204</v>
      </c>
      <c r="C107" s="6" t="inlineStr">
        <is>
          <t>Delhi</t>
        </is>
      </c>
      <c r="D107" s="6" t="inlineStr">
        <is>
          <t>Certificates</t>
        </is>
      </c>
      <c r="E107" s="6" t="inlineStr">
        <is>
          <t>Birth Certificate</t>
        </is>
      </c>
      <c r="F107" s="6" t="n">
        <v>992</v>
      </c>
      <c r="G107" s="6" t="n">
        <v>920</v>
      </c>
      <c r="H107" s="6" t="n">
        <v>72</v>
      </c>
      <c r="I107" s="8" t="n">
        <v>6.7</v>
      </c>
      <c r="J107" s="8" t="n">
        <v>75.8</v>
      </c>
      <c r="K107" s="9" t="n">
        <v>3.6</v>
      </c>
      <c r="L107" s="6" t="n">
        <v>33</v>
      </c>
      <c r="M107" s="8" t="n">
        <v>84.40000000000001</v>
      </c>
    </row>
    <row r="108">
      <c r="A108" s="6" t="inlineStr">
        <is>
          <t>EG-0104</t>
        </is>
      </c>
      <c r="B108" s="7" t="n">
        <v>46235</v>
      </c>
      <c r="C108" s="6" t="inlineStr">
        <is>
          <t>Delhi</t>
        </is>
      </c>
      <c r="D108" s="6" t="inlineStr">
        <is>
          <t>Certificates</t>
        </is>
      </c>
      <c r="E108" s="6" t="inlineStr">
        <is>
          <t>Income Certificate</t>
        </is>
      </c>
      <c r="F108" s="6" t="n">
        <v>841</v>
      </c>
      <c r="G108" s="6" t="n">
        <v>778</v>
      </c>
      <c r="H108" s="6" t="n">
        <v>63</v>
      </c>
      <c r="I108" s="8" t="n">
        <v>6.9</v>
      </c>
      <c r="J108" s="8" t="n">
        <v>85.40000000000001</v>
      </c>
      <c r="K108" s="9" t="n">
        <v>4.14</v>
      </c>
      <c r="L108" s="6" t="n">
        <v>16</v>
      </c>
      <c r="M108" s="8" t="n">
        <v>91.3</v>
      </c>
    </row>
    <row r="109">
      <c r="A109" s="6" t="inlineStr">
        <is>
          <t>EG-0105</t>
        </is>
      </c>
      <c r="B109" s="7" t="n">
        <v>46266</v>
      </c>
      <c r="C109" s="6" t="inlineStr">
        <is>
          <t>Delhi</t>
        </is>
      </c>
      <c r="D109" s="6" t="inlineStr">
        <is>
          <t>Licenses</t>
        </is>
      </c>
      <c r="E109" s="6" t="inlineStr">
        <is>
          <t>Trade License</t>
        </is>
      </c>
      <c r="F109" s="6" t="n">
        <v>1424</v>
      </c>
      <c r="G109" s="6" t="n">
        <v>1320</v>
      </c>
      <c r="H109" s="6" t="n">
        <v>104</v>
      </c>
      <c r="I109" s="8" t="n">
        <v>5.5</v>
      </c>
      <c r="J109" s="8" t="n">
        <v>77</v>
      </c>
      <c r="K109" s="9" t="n">
        <v>4.12</v>
      </c>
      <c r="L109" s="6" t="n">
        <v>30</v>
      </c>
      <c r="M109" s="8" t="n">
        <v>89.09999999999999</v>
      </c>
    </row>
    <row r="110">
      <c r="A110" s="6" t="inlineStr">
        <is>
          <t>EG-0106</t>
        </is>
      </c>
      <c r="B110" s="7" t="n">
        <v>46296</v>
      </c>
      <c r="C110" s="6" t="inlineStr">
        <is>
          <t>Delhi</t>
        </is>
      </c>
      <c r="D110" s="6" t="inlineStr">
        <is>
          <t>Welfare</t>
        </is>
      </c>
      <c r="E110" s="6" t="inlineStr">
        <is>
          <t>Scholarship Application</t>
        </is>
      </c>
      <c r="F110" s="6" t="n">
        <v>1253</v>
      </c>
      <c r="G110" s="6" t="n">
        <v>993</v>
      </c>
      <c r="H110" s="6" t="n">
        <v>260</v>
      </c>
      <c r="I110" s="8" t="n">
        <v>2.6</v>
      </c>
      <c r="J110" s="8" t="n">
        <v>89.40000000000001</v>
      </c>
      <c r="K110" s="9" t="n">
        <v>3.82</v>
      </c>
      <c r="L110" s="6" t="n">
        <v>22</v>
      </c>
      <c r="M110" s="8" t="n">
        <v>91.8</v>
      </c>
    </row>
    <row r="111">
      <c r="A111" s="6" t="inlineStr">
        <is>
          <t>EG-0107</t>
        </is>
      </c>
      <c r="B111" s="7" t="n">
        <v>46327</v>
      </c>
      <c r="C111" s="6" t="inlineStr">
        <is>
          <t>Delhi</t>
        </is>
      </c>
      <c r="D111" s="6" t="inlineStr">
        <is>
          <t>Welfare</t>
        </is>
      </c>
      <c r="E111" s="6" t="inlineStr">
        <is>
          <t>Pension Application</t>
        </is>
      </c>
      <c r="F111" s="6" t="n">
        <v>782</v>
      </c>
      <c r="G111" s="6" t="n">
        <v>638</v>
      </c>
      <c r="H111" s="6" t="n">
        <v>144</v>
      </c>
      <c r="I111" s="8" t="n">
        <v>6</v>
      </c>
      <c r="J111" s="8" t="n">
        <v>87.09999999999999</v>
      </c>
      <c r="K111" s="9" t="n">
        <v>3.66</v>
      </c>
      <c r="L111" s="6" t="n">
        <v>9</v>
      </c>
      <c r="M111" s="8" t="n">
        <v>90.90000000000001</v>
      </c>
    </row>
    <row r="112">
      <c r="A112" s="6" t="inlineStr">
        <is>
          <t>EG-0108</t>
        </is>
      </c>
      <c r="B112" s="7" t="n">
        <v>46357</v>
      </c>
      <c r="C112" s="6" t="inlineStr">
        <is>
          <t>Delhi</t>
        </is>
      </c>
      <c r="D112" s="6" t="inlineStr">
        <is>
          <t>Citizen Services</t>
        </is>
      </c>
      <c r="E112" s="6" t="inlineStr">
        <is>
          <t>Property Tax</t>
        </is>
      </c>
      <c r="F112" s="6" t="n">
        <v>1560</v>
      </c>
      <c r="G112" s="6" t="n">
        <v>1226</v>
      </c>
      <c r="H112" s="6" t="n">
        <v>334</v>
      </c>
      <c r="I112" s="8" t="n">
        <v>6.5</v>
      </c>
      <c r="J112" s="8" t="n">
        <v>70.90000000000001</v>
      </c>
      <c r="K112" s="9" t="n">
        <v>3.48</v>
      </c>
      <c r="L112" s="6" t="n">
        <v>51</v>
      </c>
      <c r="M112" s="8" t="n">
        <v>91.3</v>
      </c>
    </row>
    <row r="113">
      <c r="A113" s="6" t="inlineStr">
        <is>
          <t>EG-0109</t>
        </is>
      </c>
      <c r="B113" s="7" t="n">
        <v>46023</v>
      </c>
      <c r="C113" s="6" t="inlineStr">
        <is>
          <t>West Bengal</t>
        </is>
      </c>
      <c r="D113" s="6" t="inlineStr">
        <is>
          <t>Certificates</t>
        </is>
      </c>
      <c r="E113" s="6" t="inlineStr">
        <is>
          <t>Birth Certificate</t>
        </is>
      </c>
      <c r="F113" s="6" t="n">
        <v>1321</v>
      </c>
      <c r="G113" s="6" t="n">
        <v>1241</v>
      </c>
      <c r="H113" s="6" t="n">
        <v>80</v>
      </c>
      <c r="I113" s="8" t="n">
        <v>4.8</v>
      </c>
      <c r="J113" s="8" t="n">
        <v>85.2</v>
      </c>
      <c r="K113" s="9" t="n">
        <v>3.25</v>
      </c>
      <c r="L113" s="6" t="n">
        <v>30</v>
      </c>
      <c r="M113" s="8" t="n">
        <v>86.3</v>
      </c>
    </row>
    <row r="114">
      <c r="A114" s="6" t="inlineStr">
        <is>
          <t>EG-0110</t>
        </is>
      </c>
      <c r="B114" s="7" t="n">
        <v>46054</v>
      </c>
      <c r="C114" s="6" t="inlineStr">
        <is>
          <t>West Bengal</t>
        </is>
      </c>
      <c r="D114" s="6" t="inlineStr">
        <is>
          <t>Certificates</t>
        </is>
      </c>
      <c r="E114" s="6" t="inlineStr">
        <is>
          <t>Income Certificate</t>
        </is>
      </c>
      <c r="F114" s="6" t="n">
        <v>1191</v>
      </c>
      <c r="G114" s="6" t="n">
        <v>1092</v>
      </c>
      <c r="H114" s="6" t="n">
        <v>99</v>
      </c>
      <c r="I114" s="8" t="n">
        <v>4.2</v>
      </c>
      <c r="J114" s="8" t="n">
        <v>81.90000000000001</v>
      </c>
      <c r="K114" s="9" t="n">
        <v>4</v>
      </c>
      <c r="L114" s="6" t="n">
        <v>40</v>
      </c>
      <c r="M114" s="8" t="n">
        <v>86.09999999999999</v>
      </c>
    </row>
    <row r="115">
      <c r="A115" s="6" t="inlineStr">
        <is>
          <t>EG-0111</t>
        </is>
      </c>
      <c r="B115" s="7" t="n">
        <v>46082</v>
      </c>
      <c r="C115" s="6" t="inlineStr">
        <is>
          <t>West Bengal</t>
        </is>
      </c>
      <c r="D115" s="6" t="inlineStr">
        <is>
          <t>Licenses</t>
        </is>
      </c>
      <c r="E115" s="6" t="inlineStr">
        <is>
          <t>Trade License</t>
        </is>
      </c>
      <c r="F115" s="6" t="n">
        <v>2188</v>
      </c>
      <c r="G115" s="6" t="n">
        <v>1719</v>
      </c>
      <c r="H115" s="6" t="n">
        <v>469</v>
      </c>
      <c r="I115" s="8" t="n">
        <v>3.6</v>
      </c>
      <c r="J115" s="8" t="n">
        <v>79</v>
      </c>
      <c r="K115" s="9" t="n">
        <v>4.27</v>
      </c>
      <c r="L115" s="6" t="n">
        <v>65</v>
      </c>
      <c r="M115" s="8" t="n">
        <v>96.2</v>
      </c>
    </row>
    <row r="116">
      <c r="A116" s="6" t="inlineStr">
        <is>
          <t>EG-0112</t>
        </is>
      </c>
      <c r="B116" s="7" t="n">
        <v>46113</v>
      </c>
      <c r="C116" s="6" t="inlineStr">
        <is>
          <t>West Bengal</t>
        </is>
      </c>
      <c r="D116" s="6" t="inlineStr">
        <is>
          <t>Welfare</t>
        </is>
      </c>
      <c r="E116" s="6" t="inlineStr">
        <is>
          <t>Scholarship Application</t>
        </is>
      </c>
      <c r="F116" s="6" t="n">
        <v>964</v>
      </c>
      <c r="G116" s="6" t="n">
        <v>853</v>
      </c>
      <c r="H116" s="6" t="n">
        <v>111</v>
      </c>
      <c r="I116" s="8" t="n">
        <v>5.3</v>
      </c>
      <c r="J116" s="8" t="n">
        <v>70.59999999999999</v>
      </c>
      <c r="K116" s="9" t="n">
        <v>3.88</v>
      </c>
      <c r="L116" s="6" t="n">
        <v>19</v>
      </c>
      <c r="M116" s="8" t="n">
        <v>91.7</v>
      </c>
    </row>
    <row r="117">
      <c r="A117" s="6" t="inlineStr">
        <is>
          <t>EG-0113</t>
        </is>
      </c>
      <c r="B117" s="7" t="n">
        <v>46143</v>
      </c>
      <c r="C117" s="6" t="inlineStr">
        <is>
          <t>West Bengal</t>
        </is>
      </c>
      <c r="D117" s="6" t="inlineStr">
        <is>
          <t>Welfare</t>
        </is>
      </c>
      <c r="E117" s="6" t="inlineStr">
        <is>
          <t>Pension Application</t>
        </is>
      </c>
      <c r="F117" s="6" t="n">
        <v>1996</v>
      </c>
      <c r="G117" s="6" t="n">
        <v>1756</v>
      </c>
      <c r="H117" s="6" t="n">
        <v>240</v>
      </c>
      <c r="I117" s="8" t="n">
        <v>6.5</v>
      </c>
      <c r="J117" s="8" t="n">
        <v>81.2</v>
      </c>
      <c r="K117" s="9" t="n">
        <v>4.4</v>
      </c>
      <c r="L117" s="6" t="n">
        <v>66</v>
      </c>
      <c r="M117" s="8" t="n">
        <v>82.8</v>
      </c>
    </row>
    <row r="118">
      <c r="A118" s="6" t="inlineStr">
        <is>
          <t>EG-0114</t>
        </is>
      </c>
      <c r="B118" s="7" t="n">
        <v>46174</v>
      </c>
      <c r="C118" s="6" t="inlineStr">
        <is>
          <t>West Bengal</t>
        </is>
      </c>
      <c r="D118" s="6" t="inlineStr">
        <is>
          <t>Citizen Services</t>
        </is>
      </c>
      <c r="E118" s="6" t="inlineStr">
        <is>
          <t>Property Tax</t>
        </is>
      </c>
      <c r="F118" s="6" t="n">
        <v>1148</v>
      </c>
      <c r="G118" s="6" t="n">
        <v>900</v>
      </c>
      <c r="H118" s="6" t="n">
        <v>248</v>
      </c>
      <c r="I118" s="8" t="n">
        <v>5.8</v>
      </c>
      <c r="J118" s="8" t="n">
        <v>82.5</v>
      </c>
      <c r="K118" s="9" t="n">
        <v>4.2</v>
      </c>
      <c r="L118" s="6" t="n">
        <v>21</v>
      </c>
      <c r="M118" s="8" t="n">
        <v>82.5</v>
      </c>
    </row>
    <row r="119">
      <c r="A119" s="6" t="inlineStr">
        <is>
          <t>EG-0115</t>
        </is>
      </c>
      <c r="B119" s="7" t="n">
        <v>46204</v>
      </c>
      <c r="C119" s="6" t="inlineStr">
        <is>
          <t>West Bengal</t>
        </is>
      </c>
      <c r="D119" s="6" t="inlineStr">
        <is>
          <t>Certificates</t>
        </is>
      </c>
      <c r="E119" s="6" t="inlineStr">
        <is>
          <t>Birth Certificate</t>
        </is>
      </c>
      <c r="F119" s="6" t="n">
        <v>890</v>
      </c>
      <c r="G119" s="6" t="n">
        <v>772</v>
      </c>
      <c r="H119" s="6" t="n">
        <v>118</v>
      </c>
      <c r="I119" s="8" t="n">
        <v>2.9</v>
      </c>
      <c r="J119" s="8" t="n">
        <v>92.2</v>
      </c>
      <c r="K119" s="9" t="n">
        <v>4.06</v>
      </c>
      <c r="L119" s="6" t="n">
        <v>20</v>
      </c>
      <c r="M119" s="8" t="n">
        <v>97</v>
      </c>
    </row>
    <row r="120">
      <c r="A120" s="6" t="inlineStr">
        <is>
          <t>EG-0116</t>
        </is>
      </c>
      <c r="B120" s="7" t="n">
        <v>46235</v>
      </c>
      <c r="C120" s="6" t="inlineStr">
        <is>
          <t>West Bengal</t>
        </is>
      </c>
      <c r="D120" s="6" t="inlineStr">
        <is>
          <t>Certificates</t>
        </is>
      </c>
      <c r="E120" s="6" t="inlineStr">
        <is>
          <t>Income Certificate</t>
        </is>
      </c>
      <c r="F120" s="6" t="n">
        <v>1786</v>
      </c>
      <c r="G120" s="6" t="n">
        <v>1659</v>
      </c>
      <c r="H120" s="6" t="n">
        <v>127</v>
      </c>
      <c r="I120" s="8" t="n">
        <v>4</v>
      </c>
      <c r="J120" s="8" t="n">
        <v>86.59999999999999</v>
      </c>
      <c r="K120" s="9" t="n">
        <v>4</v>
      </c>
      <c r="L120" s="6" t="n">
        <v>41</v>
      </c>
      <c r="M120" s="8" t="n">
        <v>85</v>
      </c>
    </row>
    <row r="121">
      <c r="A121" s="6" t="inlineStr">
        <is>
          <t>EG-0117</t>
        </is>
      </c>
      <c r="B121" s="7" t="n">
        <v>46266</v>
      </c>
      <c r="C121" s="6" t="inlineStr">
        <is>
          <t>West Bengal</t>
        </is>
      </c>
      <c r="D121" s="6" t="inlineStr">
        <is>
          <t>Licenses</t>
        </is>
      </c>
      <c r="E121" s="6" t="inlineStr">
        <is>
          <t>Trade License</t>
        </is>
      </c>
      <c r="F121" s="6" t="n">
        <v>1717</v>
      </c>
      <c r="G121" s="6" t="n">
        <v>1406</v>
      </c>
      <c r="H121" s="6" t="n">
        <v>311</v>
      </c>
      <c r="I121" s="8" t="n">
        <v>6.1</v>
      </c>
      <c r="J121" s="8" t="n">
        <v>68.90000000000001</v>
      </c>
      <c r="K121" s="9" t="n">
        <v>4.54</v>
      </c>
      <c r="L121" s="6" t="n">
        <v>40</v>
      </c>
      <c r="M121" s="8" t="n">
        <v>97.3</v>
      </c>
    </row>
    <row r="122">
      <c r="A122" s="6" t="inlineStr">
        <is>
          <t>EG-0118</t>
        </is>
      </c>
      <c r="B122" s="7" t="n">
        <v>46296</v>
      </c>
      <c r="C122" s="6" t="inlineStr">
        <is>
          <t>West Bengal</t>
        </is>
      </c>
      <c r="D122" s="6" t="inlineStr">
        <is>
          <t>Welfare</t>
        </is>
      </c>
      <c r="E122" s="6" t="inlineStr">
        <is>
          <t>Scholarship Application</t>
        </is>
      </c>
      <c r="F122" s="6" t="n">
        <v>1363</v>
      </c>
      <c r="G122" s="6" t="n">
        <v>1231</v>
      </c>
      <c r="H122" s="6" t="n">
        <v>132</v>
      </c>
      <c r="I122" s="8" t="n">
        <v>7</v>
      </c>
      <c r="J122" s="8" t="n">
        <v>70.8</v>
      </c>
      <c r="K122" s="9" t="n">
        <v>3.61</v>
      </c>
      <c r="L122" s="6" t="n">
        <v>24</v>
      </c>
      <c r="M122" s="8" t="n">
        <v>97.40000000000001</v>
      </c>
    </row>
    <row r="123">
      <c r="A123" s="6" t="inlineStr">
        <is>
          <t>EG-0119</t>
        </is>
      </c>
      <c r="B123" s="7" t="n">
        <v>46327</v>
      </c>
      <c r="C123" s="6" t="inlineStr">
        <is>
          <t>West Bengal</t>
        </is>
      </c>
      <c r="D123" s="6" t="inlineStr">
        <is>
          <t>Welfare</t>
        </is>
      </c>
      <c r="E123" s="6" t="inlineStr">
        <is>
          <t>Pension Application</t>
        </is>
      </c>
      <c r="F123" s="6" t="n">
        <v>868</v>
      </c>
      <c r="G123" s="6" t="n">
        <v>716</v>
      </c>
      <c r="H123" s="6" t="n">
        <v>152</v>
      </c>
      <c r="I123" s="8" t="n">
        <v>4</v>
      </c>
      <c r="J123" s="8" t="n">
        <v>60.1</v>
      </c>
      <c r="K123" s="9" t="n">
        <v>3.43</v>
      </c>
      <c r="L123" s="6" t="n">
        <v>20</v>
      </c>
      <c r="M123" s="8" t="n">
        <v>93.7</v>
      </c>
    </row>
    <row r="124">
      <c r="A124" s="6" t="inlineStr">
        <is>
          <t>EG-0120</t>
        </is>
      </c>
      <c r="B124" s="7" t="n">
        <v>46357</v>
      </c>
      <c r="C124" s="6" t="inlineStr">
        <is>
          <t>West Bengal</t>
        </is>
      </c>
      <c r="D124" s="6" t="inlineStr">
        <is>
          <t>Citizen Services</t>
        </is>
      </c>
      <c r="E124" s="6" t="inlineStr">
        <is>
          <t>Property Tax</t>
        </is>
      </c>
      <c r="F124" s="6" t="n">
        <v>1606</v>
      </c>
      <c r="G124" s="6" t="n">
        <v>1338</v>
      </c>
      <c r="H124" s="6" t="n">
        <v>268</v>
      </c>
      <c r="I124" s="8" t="n">
        <v>6.5</v>
      </c>
      <c r="J124" s="8" t="n">
        <v>85</v>
      </c>
      <c r="K124" s="9" t="n">
        <v>3.4</v>
      </c>
      <c r="L124" s="6" t="n">
        <v>51</v>
      </c>
      <c r="M124" s="8" t="n">
        <v>98.09999999999999</v>
      </c>
    </row>
    <row r="127">
      <c r="A127" s="10" t="inlineStr">
        <is>
          <t>Note: This is a synthetic educational dataset created for the internship assignment. It should not be presented as official government statistics.</t>
        </is>
      </c>
    </row>
  </sheetData>
  <autoFilter ref="A4:M124"/>
  <mergeCells count="3">
    <mergeCell ref="A2:M2"/>
    <mergeCell ref="A127:M127"/>
    <mergeCell ref="A1:M1"/>
  </mergeCells>
  <conditionalFormatting sqref="J5:J12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:K12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50" customWidth="1" min="3" max="3"/>
    <col width="18" customWidth="1" min="4" max="4"/>
  </cols>
  <sheetData>
    <row r="1" ht="34" customHeight="1">
      <c r="A1" s="1" t="inlineStr">
        <is>
          <t>Data Cleaning &amp; Quality Checks</t>
        </is>
      </c>
    </row>
    <row r="2" ht="30" customHeight="1">
      <c r="A2" s="2" t="inlineStr">
        <is>
          <t>Documented preparation steps so the analysis is transparent and reproducible.</t>
        </is>
      </c>
    </row>
    <row r="4">
      <c r="A4" s="5" t="inlineStr">
        <is>
          <t>Step</t>
        </is>
      </c>
      <c r="B4" s="5" t="inlineStr">
        <is>
          <t>Data Quality Check / Action</t>
        </is>
      </c>
      <c r="C4" s="5" t="inlineStr">
        <is>
          <t>Result</t>
        </is>
      </c>
      <c r="D4" s="5" t="inlineStr">
        <is>
          <t>Status</t>
        </is>
      </c>
      <c r="E4" s="5" t="n"/>
      <c r="F4" s="5" t="n"/>
    </row>
    <row r="5" ht="35" customHeight="1">
      <c r="A5" s="4" t="inlineStr">
        <is>
          <t>1</t>
        </is>
      </c>
      <c r="B5" s="4" t="inlineStr">
        <is>
          <t>Checked record identifiers for uniqueness</t>
        </is>
      </c>
      <c r="C5" s="4" t="inlineStr">
        <is>
          <t>120 unique Record IDs</t>
        </is>
      </c>
      <c r="D5" s="11" t="inlineStr">
        <is>
          <t>PASS</t>
        </is>
      </c>
    </row>
    <row r="6" ht="35" customHeight="1">
      <c r="A6" s="4" t="inlineStr">
        <is>
          <t>2</t>
        </is>
      </c>
      <c r="B6" s="4" t="inlineStr">
        <is>
          <t>Checked required fields for blanks</t>
        </is>
      </c>
      <c r="C6" s="4" t="inlineStr">
        <is>
          <t>No intentional blanks in analytical fields</t>
        </is>
      </c>
      <c r="D6" s="11" t="inlineStr">
        <is>
          <t>PASS</t>
        </is>
      </c>
    </row>
    <row r="7" ht="35" customHeight="1">
      <c r="A7" s="4" t="inlineStr">
        <is>
          <t>3</t>
        </is>
      </c>
      <c r="B7" s="4" t="inlineStr">
        <is>
          <t>Validated numeric fields</t>
        </is>
      </c>
      <c r="C7" s="4" t="inlineStr">
        <is>
          <t>Applications, days, percentages and scores fall within logical ranges</t>
        </is>
      </c>
      <c r="D7" s="11" t="inlineStr">
        <is>
          <t>PASS</t>
        </is>
      </c>
    </row>
    <row r="8" ht="35" customHeight="1">
      <c r="A8" s="4" t="inlineStr">
        <is>
          <t>4</t>
        </is>
      </c>
      <c r="B8" s="4" t="inlineStr">
        <is>
          <t>Checked percentage values</t>
        </is>
      </c>
      <c r="C8" s="4" t="inlineStr">
        <is>
          <t>Digital Applications and Complaint Resolution are between 0% and 100%</t>
        </is>
      </c>
      <c r="D8" s="11" t="inlineStr">
        <is>
          <t>PASS</t>
        </is>
      </c>
    </row>
    <row r="9" ht="35" customHeight="1">
      <c r="A9" s="4" t="inlineStr">
        <is>
          <t>5</t>
        </is>
      </c>
      <c r="B9" s="4" t="inlineStr">
        <is>
          <t>Checked satisfaction scale</t>
        </is>
      </c>
      <c r="C9" s="4" t="inlineStr">
        <is>
          <t>All values are between 1 and 5</t>
        </is>
      </c>
      <c r="D9" s="11" t="inlineStr">
        <is>
          <t>PASS</t>
        </is>
      </c>
    </row>
    <row r="10" ht="35" customHeight="1">
      <c r="A10" s="4" t="inlineStr">
        <is>
          <t>6</t>
        </is>
      </c>
      <c r="B10" s="4" t="inlineStr">
        <is>
          <t>Checked approved/rejected relationship</t>
        </is>
      </c>
      <c r="C10" s="4" t="inlineStr">
        <is>
          <t>Approved + Rejected does not exceed Applications Received</t>
        </is>
      </c>
      <c r="D10" s="11" t="inlineStr">
        <is>
          <t>PASS</t>
        </is>
      </c>
    </row>
    <row r="11" ht="35" customHeight="1">
      <c r="A11" s="4" t="inlineStr">
        <is>
          <t>7</t>
        </is>
      </c>
      <c r="B11" s="4" t="inlineStr">
        <is>
          <t>Standardised category/service labels</t>
        </is>
      </c>
      <c r="C11" s="4" t="inlineStr">
        <is>
          <t>Consistent spelling and naming used</t>
        </is>
      </c>
      <c r="D11" s="11" t="inlineStr">
        <is>
          <t>PASS</t>
        </is>
      </c>
    </row>
    <row r="12" ht="35" customHeight="1">
      <c r="A12" s="4" t="inlineStr">
        <is>
          <t>8</t>
        </is>
      </c>
      <c r="B12" s="4" t="inlineStr">
        <is>
          <t>Date format standardisation</t>
        </is>
      </c>
      <c r="C12" s="4" t="inlineStr">
        <is>
          <t>Month stored as Excel date and displayed as MMM-YY</t>
        </is>
      </c>
      <c r="D12" s="11" t="inlineStr">
        <is>
          <t>PASS</t>
        </is>
      </c>
    </row>
    <row r="13" ht="35" customHeight="1">
      <c r="A13" s="4" t="inlineStr">
        <is>
          <t>9</t>
        </is>
      </c>
      <c r="B13" s="4" t="inlineStr">
        <is>
          <t>Outlier review</t>
        </is>
      </c>
      <c r="C13" s="4" t="inlineStr">
        <is>
          <t>Extreme values reviewed for plausibility; no records removed solely for being high/low</t>
        </is>
      </c>
      <c r="D13" s="11" t="inlineStr">
        <is>
          <t>PASS</t>
        </is>
      </c>
    </row>
    <row r="14" ht="35" customHeight="1">
      <c r="A14" s="4" t="inlineStr">
        <is>
          <t>10</t>
        </is>
      </c>
      <c r="B14" s="4" t="inlineStr">
        <is>
          <t>Source note</t>
        </is>
      </c>
      <c r="C14" s="4" t="inlineStr">
        <is>
          <t>Dataset is synthetic for internship practice, not an official government dataset</t>
        </is>
      </c>
      <c r="D14" s="12" t="inlineStr">
        <is>
          <t>DOCUMENTED</t>
        </is>
      </c>
    </row>
  </sheetData>
  <mergeCells count="2">
    <mergeCell ref="A2:F2"/>
    <mergeCell ref="A1:F1"/>
  </mergeCells>
  <pageMargins left="0.25" right="0.2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43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6" customWidth="1" min="4" max="4"/>
    <col width="22" customWidth="1" min="5" max="5"/>
    <col width="20" customWidth="1" min="6" max="6"/>
    <col width="18" customWidth="1" min="7" max="7"/>
    <col width="16" customWidth="1" min="8" max="8"/>
    <col width="20" customWidth="1" min="9" max="9"/>
  </cols>
  <sheetData>
    <row r="1" ht="34" customHeight="1">
      <c r="A1" s="1" t="inlineStr">
        <is>
          <t>Descriptive Analysis &amp; Key Metrics</t>
        </is>
      </c>
    </row>
    <row r="2" ht="30" customHeight="1">
      <c r="A2" s="2" t="inlineStr">
        <is>
          <t>Summary statistics calculated from the 120-record dataset.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13" t="inlineStr">
        <is>
          <t>Total Applications Received</t>
        </is>
      </c>
      <c r="B5" s="14">
        <f>SUM(Dataset!F5:F124)</f>
        <v/>
      </c>
    </row>
    <row r="6">
      <c r="A6" s="13" t="inlineStr">
        <is>
          <t>Total Applications Approved</t>
        </is>
      </c>
      <c r="B6" s="15">
        <f>SUM(Dataset!G5:G124)</f>
        <v/>
      </c>
    </row>
    <row r="7">
      <c r="A7" s="13" t="inlineStr">
        <is>
          <t>Overall Approval Rate</t>
        </is>
      </c>
      <c r="B7" s="14">
        <f>B5/B4</f>
        <v/>
      </c>
    </row>
    <row r="8">
      <c r="A8" s="13" t="inlineStr">
        <is>
          <t>Average Processing Days</t>
        </is>
      </c>
      <c r="B8" s="15">
        <f>AVERAGE(Dataset!I5:I124)</f>
        <v/>
      </c>
    </row>
    <row r="9">
      <c r="A9" s="13" t="inlineStr">
        <is>
          <t>Average Digital Adoption</t>
        </is>
      </c>
      <c r="B9" s="16">
        <f>AVERAGE(Dataset!J5:J124)</f>
        <v/>
      </c>
    </row>
    <row r="10">
      <c r="A10" s="13" t="inlineStr">
        <is>
          <t>Average Satisfaction</t>
        </is>
      </c>
      <c r="B10" s="14">
        <f>AVERAGE(Dataset!K5:K124)</f>
        <v/>
      </c>
    </row>
    <row r="11">
      <c r="A11" s="13" t="inlineStr">
        <is>
          <t>Total Complaints</t>
        </is>
      </c>
      <c r="B11" s="15">
        <f>SUM(Dataset!L5:L124)</f>
        <v/>
      </c>
    </row>
    <row r="12">
      <c r="A12" s="13" t="inlineStr">
        <is>
          <t>Average Complaint Resolution</t>
        </is>
      </c>
      <c r="B12" s="14">
        <f>AVERAGE(Dataset!M5:M124)</f>
        <v/>
      </c>
    </row>
    <row r="15">
      <c r="A15" s="5" t="inlineStr">
        <is>
          <t>State</t>
        </is>
      </c>
      <c r="B15" s="5" t="inlineStr">
        <is>
          <t>Applications</t>
        </is>
      </c>
      <c r="C15" s="5" t="inlineStr">
        <is>
          <t>Approved</t>
        </is>
      </c>
      <c r="D15" s="5" t="inlineStr">
        <is>
          <t>Approval Rate</t>
        </is>
      </c>
      <c r="E15" s="5" t="inlineStr">
        <is>
          <t>Avg Processing Days</t>
        </is>
      </c>
      <c r="F15" s="5" t="inlineStr">
        <is>
          <t>Digital Adoption</t>
        </is>
      </c>
      <c r="G15" s="5" t="inlineStr">
        <is>
          <t>Satisfaction</t>
        </is>
      </c>
      <c r="H15" s="5" t="inlineStr">
        <is>
          <t>Complaints</t>
        </is>
      </c>
      <c r="I15" s="5" t="inlineStr">
        <is>
          <t>Resolution Rate</t>
        </is>
      </c>
      <c r="J15" s="5" t="n"/>
    </row>
    <row r="16">
      <c r="A16" s="6" t="inlineStr">
        <is>
          <t>Maharashtra</t>
        </is>
      </c>
      <c r="B16" s="6">
        <f>SUMIFS(Dataset!$F$5:$F$124,Dataset!$C$5:$C$124,A16)</f>
        <v/>
      </c>
      <c r="C16" s="6">
        <f>SUMIFS(Dataset!$G$5:$G$124,Dataset!$C$5:$C$124,A16)</f>
        <v/>
      </c>
      <c r="D16" s="17">
        <f>IFERROR(C16/B16,0)</f>
        <v/>
      </c>
      <c r="E16" s="6">
        <f>AVERAGEIFS(Dataset!$I$5:$I$124,Dataset!$C$5:$C$124,A16)</f>
        <v/>
      </c>
      <c r="F16" s="17">
        <f>AVERAGEIFS(Dataset!$J$5:$J$124,Dataset!$C$5:$C$124,A16)</f>
        <v/>
      </c>
      <c r="G16" s="9">
        <f>AVERAGEIFS(Dataset!$K$5:$K$124,Dataset!$C$5:$C$124,A16)</f>
        <v/>
      </c>
      <c r="H16" s="6">
        <f>SUMIFS(Dataset!$L$5:$L$124,Dataset!$C$5:$C$124,A16)</f>
        <v/>
      </c>
      <c r="I16" s="17">
        <f>AVERAGEIFS(Dataset!$M$5:$M$124,Dataset!$C$5:$C$124,A16)</f>
        <v/>
      </c>
    </row>
    <row r="17">
      <c r="A17" s="6" t="inlineStr">
        <is>
          <t>Gujarat</t>
        </is>
      </c>
      <c r="B17" s="6">
        <f>SUMIFS(Dataset!$F$5:$F$124,Dataset!$C$5:$C$124,A17)</f>
        <v/>
      </c>
      <c r="C17" s="6">
        <f>SUMIFS(Dataset!$G$5:$G$124,Dataset!$C$5:$C$124,A17)</f>
        <v/>
      </c>
      <c r="D17" s="17">
        <f>IFERROR(C17/B17,0)</f>
        <v/>
      </c>
      <c r="E17" s="6">
        <f>AVERAGEIFS(Dataset!$I$5:$I$124,Dataset!$C$5:$C$124,A17)</f>
        <v/>
      </c>
      <c r="F17" s="17">
        <f>AVERAGEIFS(Dataset!$J$5:$J$124,Dataset!$C$5:$C$124,A17)</f>
        <v/>
      </c>
      <c r="G17" s="9">
        <f>AVERAGEIFS(Dataset!$K$5:$K$124,Dataset!$C$5:$C$124,A17)</f>
        <v/>
      </c>
      <c r="H17" s="6">
        <f>SUMIFS(Dataset!$L$5:$L$124,Dataset!$C$5:$C$124,A17)</f>
        <v/>
      </c>
      <c r="I17" s="17">
        <f>AVERAGEIFS(Dataset!$M$5:$M$124,Dataset!$C$5:$C$124,A17)</f>
        <v/>
      </c>
    </row>
    <row r="18">
      <c r="A18" s="6" t="inlineStr">
        <is>
          <t>Karnataka</t>
        </is>
      </c>
      <c r="B18" s="6">
        <f>SUMIFS(Dataset!$F$5:$F$124,Dataset!$C$5:$C$124,A18)</f>
        <v/>
      </c>
      <c r="C18" s="6">
        <f>SUMIFS(Dataset!$G$5:$G$124,Dataset!$C$5:$C$124,A18)</f>
        <v/>
      </c>
      <c r="D18" s="17">
        <f>IFERROR(C18/B18,0)</f>
        <v/>
      </c>
      <c r="E18" s="6">
        <f>AVERAGEIFS(Dataset!$I$5:$I$124,Dataset!$C$5:$C$124,A18)</f>
        <v/>
      </c>
      <c r="F18" s="17">
        <f>AVERAGEIFS(Dataset!$J$5:$J$124,Dataset!$C$5:$C$124,A18)</f>
        <v/>
      </c>
      <c r="G18" s="9">
        <f>AVERAGEIFS(Dataset!$K$5:$K$124,Dataset!$C$5:$C$124,A18)</f>
        <v/>
      </c>
      <c r="H18" s="6">
        <f>SUMIFS(Dataset!$L$5:$L$124,Dataset!$C$5:$C$124,A18)</f>
        <v/>
      </c>
      <c r="I18" s="17">
        <f>AVERAGEIFS(Dataset!$M$5:$M$124,Dataset!$C$5:$C$124,A18)</f>
        <v/>
      </c>
    </row>
    <row r="19">
      <c r="A19" s="6" t="inlineStr">
        <is>
          <t>Tamil Nadu</t>
        </is>
      </c>
      <c r="B19" s="6">
        <f>SUMIFS(Dataset!$F$5:$F$124,Dataset!$C$5:$C$124,A19)</f>
        <v/>
      </c>
      <c r="C19" s="6">
        <f>SUMIFS(Dataset!$G$5:$G$124,Dataset!$C$5:$C$124,A19)</f>
        <v/>
      </c>
      <c r="D19" s="17">
        <f>IFERROR(C19/B19,0)</f>
        <v/>
      </c>
      <c r="E19" s="6">
        <f>AVERAGEIFS(Dataset!$I$5:$I$124,Dataset!$C$5:$C$124,A19)</f>
        <v/>
      </c>
      <c r="F19" s="17">
        <f>AVERAGEIFS(Dataset!$J$5:$J$124,Dataset!$C$5:$C$124,A19)</f>
        <v/>
      </c>
      <c r="G19" s="9">
        <f>AVERAGEIFS(Dataset!$K$5:$K$124,Dataset!$C$5:$C$124,A19)</f>
        <v/>
      </c>
      <c r="H19" s="6">
        <f>SUMIFS(Dataset!$L$5:$L$124,Dataset!$C$5:$C$124,A19)</f>
        <v/>
      </c>
      <c r="I19" s="17">
        <f>AVERAGEIFS(Dataset!$M$5:$M$124,Dataset!$C$5:$C$124,A19)</f>
        <v/>
      </c>
    </row>
    <row r="20">
      <c r="A20" s="6" t="inlineStr">
        <is>
          <t>Telangana</t>
        </is>
      </c>
      <c r="B20" s="6">
        <f>SUMIFS(Dataset!$F$5:$F$124,Dataset!$C$5:$C$124,A20)</f>
        <v/>
      </c>
      <c r="C20" s="6">
        <f>SUMIFS(Dataset!$G$5:$G$124,Dataset!$C$5:$C$124,A20)</f>
        <v/>
      </c>
      <c r="D20" s="17">
        <f>IFERROR(C20/B20,0)</f>
        <v/>
      </c>
      <c r="E20" s="6">
        <f>AVERAGEIFS(Dataset!$I$5:$I$124,Dataset!$C$5:$C$124,A20)</f>
        <v/>
      </c>
      <c r="F20" s="17">
        <f>AVERAGEIFS(Dataset!$J$5:$J$124,Dataset!$C$5:$C$124,A20)</f>
        <v/>
      </c>
      <c r="G20" s="9">
        <f>AVERAGEIFS(Dataset!$K$5:$K$124,Dataset!$C$5:$C$124,A20)</f>
        <v/>
      </c>
      <c r="H20" s="6">
        <f>SUMIFS(Dataset!$L$5:$L$124,Dataset!$C$5:$C$124,A20)</f>
        <v/>
      </c>
      <c r="I20" s="17">
        <f>AVERAGEIFS(Dataset!$M$5:$M$124,Dataset!$C$5:$C$124,A20)</f>
        <v/>
      </c>
    </row>
    <row r="21">
      <c r="A21" s="6" t="inlineStr">
        <is>
          <t>Kerala</t>
        </is>
      </c>
      <c r="B21" s="6">
        <f>SUMIFS(Dataset!$F$5:$F$124,Dataset!$C$5:$C$124,A21)</f>
        <v/>
      </c>
      <c r="C21" s="6">
        <f>SUMIFS(Dataset!$G$5:$G$124,Dataset!$C$5:$C$124,A21)</f>
        <v/>
      </c>
      <c r="D21" s="17">
        <f>IFERROR(C21/B21,0)</f>
        <v/>
      </c>
      <c r="E21" s="6">
        <f>AVERAGEIFS(Dataset!$I$5:$I$124,Dataset!$C$5:$C$124,A21)</f>
        <v/>
      </c>
      <c r="F21" s="17">
        <f>AVERAGEIFS(Dataset!$J$5:$J$124,Dataset!$C$5:$C$124,A21)</f>
        <v/>
      </c>
      <c r="G21" s="9">
        <f>AVERAGEIFS(Dataset!$K$5:$K$124,Dataset!$C$5:$C$124,A21)</f>
        <v/>
      </c>
      <c r="H21" s="6">
        <f>SUMIFS(Dataset!$L$5:$L$124,Dataset!$C$5:$C$124,A21)</f>
        <v/>
      </c>
      <c r="I21" s="17">
        <f>AVERAGEIFS(Dataset!$M$5:$M$124,Dataset!$C$5:$C$124,A21)</f>
        <v/>
      </c>
    </row>
    <row r="22">
      <c r="A22" s="6" t="inlineStr">
        <is>
          <t>Rajasthan</t>
        </is>
      </c>
      <c r="B22" s="6">
        <f>SUMIFS(Dataset!$F$5:$F$124,Dataset!$C$5:$C$124,A22)</f>
        <v/>
      </c>
      <c r="C22" s="6">
        <f>SUMIFS(Dataset!$G$5:$G$124,Dataset!$C$5:$C$124,A22)</f>
        <v/>
      </c>
      <c r="D22" s="17">
        <f>IFERROR(C22/B22,0)</f>
        <v/>
      </c>
      <c r="E22" s="6">
        <f>AVERAGEIFS(Dataset!$I$5:$I$124,Dataset!$C$5:$C$124,A22)</f>
        <v/>
      </c>
      <c r="F22" s="17">
        <f>AVERAGEIFS(Dataset!$J$5:$J$124,Dataset!$C$5:$C$124,A22)</f>
        <v/>
      </c>
      <c r="G22" s="9">
        <f>AVERAGEIFS(Dataset!$K$5:$K$124,Dataset!$C$5:$C$124,A22)</f>
        <v/>
      </c>
      <c r="H22" s="6">
        <f>SUMIFS(Dataset!$L$5:$L$124,Dataset!$C$5:$C$124,A22)</f>
        <v/>
      </c>
      <c r="I22" s="17">
        <f>AVERAGEIFS(Dataset!$M$5:$M$124,Dataset!$C$5:$C$124,A22)</f>
        <v/>
      </c>
    </row>
    <row r="23">
      <c r="A23" s="6" t="inlineStr">
        <is>
          <t>Uttar Pradesh</t>
        </is>
      </c>
      <c r="B23" s="6">
        <f>SUMIFS(Dataset!$F$5:$F$124,Dataset!$C$5:$C$124,A23)</f>
        <v/>
      </c>
      <c r="C23" s="6">
        <f>SUMIFS(Dataset!$G$5:$G$124,Dataset!$C$5:$C$124,A23)</f>
        <v/>
      </c>
      <c r="D23" s="17">
        <f>IFERROR(C23/B23,0)</f>
        <v/>
      </c>
      <c r="E23" s="6">
        <f>AVERAGEIFS(Dataset!$I$5:$I$124,Dataset!$C$5:$C$124,A23)</f>
        <v/>
      </c>
      <c r="F23" s="17">
        <f>AVERAGEIFS(Dataset!$J$5:$J$124,Dataset!$C$5:$C$124,A23)</f>
        <v/>
      </c>
      <c r="G23" s="9">
        <f>AVERAGEIFS(Dataset!$K$5:$K$124,Dataset!$C$5:$C$124,A23)</f>
        <v/>
      </c>
      <c r="H23" s="6">
        <f>SUMIFS(Dataset!$L$5:$L$124,Dataset!$C$5:$C$124,A23)</f>
        <v/>
      </c>
      <c r="I23" s="17">
        <f>AVERAGEIFS(Dataset!$M$5:$M$124,Dataset!$C$5:$C$124,A23)</f>
        <v/>
      </c>
    </row>
    <row r="24">
      <c r="A24" s="6" t="inlineStr">
        <is>
          <t>Delhi</t>
        </is>
      </c>
      <c r="B24" s="6">
        <f>SUMIFS(Dataset!$F$5:$F$124,Dataset!$C$5:$C$124,A24)</f>
        <v/>
      </c>
      <c r="C24" s="6">
        <f>SUMIFS(Dataset!$G$5:$G$124,Dataset!$C$5:$C$124,A24)</f>
        <v/>
      </c>
      <c r="D24" s="17">
        <f>IFERROR(C24/B24,0)</f>
        <v/>
      </c>
      <c r="E24" s="6">
        <f>AVERAGEIFS(Dataset!$I$5:$I$124,Dataset!$C$5:$C$124,A24)</f>
        <v/>
      </c>
      <c r="F24" s="17">
        <f>AVERAGEIFS(Dataset!$J$5:$J$124,Dataset!$C$5:$C$124,A24)</f>
        <v/>
      </c>
      <c r="G24" s="9">
        <f>AVERAGEIFS(Dataset!$K$5:$K$124,Dataset!$C$5:$C$124,A24)</f>
        <v/>
      </c>
      <c r="H24" s="6">
        <f>SUMIFS(Dataset!$L$5:$L$124,Dataset!$C$5:$C$124,A24)</f>
        <v/>
      </c>
      <c r="I24" s="17">
        <f>AVERAGEIFS(Dataset!$M$5:$M$124,Dataset!$C$5:$C$124,A24)</f>
        <v/>
      </c>
    </row>
    <row r="25">
      <c r="A25" s="6" t="inlineStr">
        <is>
          <t>West Bengal</t>
        </is>
      </c>
      <c r="B25" s="6">
        <f>SUMIFS(Dataset!$F$5:$F$124,Dataset!$C$5:$C$124,A25)</f>
        <v/>
      </c>
      <c r="C25" s="6">
        <f>SUMIFS(Dataset!$G$5:$G$124,Dataset!$C$5:$C$124,A25)</f>
        <v/>
      </c>
      <c r="D25" s="17">
        <f>IFERROR(C25/B25,0)</f>
        <v/>
      </c>
      <c r="E25" s="6">
        <f>AVERAGEIFS(Dataset!$I$5:$I$124,Dataset!$C$5:$C$124,A25)</f>
        <v/>
      </c>
      <c r="F25" s="17">
        <f>AVERAGEIFS(Dataset!$J$5:$J$124,Dataset!$C$5:$C$124,A25)</f>
        <v/>
      </c>
      <c r="G25" s="9">
        <f>AVERAGEIFS(Dataset!$K$5:$K$124,Dataset!$C$5:$C$124,A25)</f>
        <v/>
      </c>
      <c r="H25" s="6">
        <f>SUMIFS(Dataset!$L$5:$L$124,Dataset!$C$5:$C$124,A25)</f>
        <v/>
      </c>
      <c r="I25" s="17">
        <f>AVERAGEIFS(Dataset!$M$5:$M$124,Dataset!$C$5:$C$124,A25)</f>
        <v/>
      </c>
    </row>
    <row r="28">
      <c r="A28" s="5" t="inlineStr">
        <is>
          <t>Service Category</t>
        </is>
      </c>
      <c r="B28" s="5" t="inlineStr">
        <is>
          <t>Applications</t>
        </is>
      </c>
      <c r="C28" s="5" t="inlineStr">
        <is>
          <t>Approved</t>
        </is>
      </c>
      <c r="D28" s="5" t="inlineStr">
        <is>
          <t>Approval Rate</t>
        </is>
      </c>
      <c r="E28" s="5" t="inlineStr">
        <is>
          <t>Avg Processing Days</t>
        </is>
      </c>
      <c r="F28" s="5" t="inlineStr">
        <is>
          <t>Digital Adoption</t>
        </is>
      </c>
      <c r="G28" s="5" t="inlineStr">
        <is>
          <t>Satisfaction</t>
        </is>
      </c>
      <c r="H28" s="5" t="inlineStr">
        <is>
          <t>Complaints</t>
        </is>
      </c>
      <c r="I28" s="5" t="n"/>
      <c r="J28" s="5" t="n"/>
    </row>
    <row r="29">
      <c r="A29" s="18" t="inlineStr">
        <is>
          <t>Certificates</t>
        </is>
      </c>
      <c r="B29" s="18">
        <f>SUMIFS(Dataset!$F$5:$F$124,Dataset!$D$5:$D$124,A29)</f>
        <v/>
      </c>
      <c r="C29" s="18">
        <f>SUMIFS(Dataset!$G$5:$G$124,Dataset!$D$5:$D$124,A29)</f>
        <v/>
      </c>
      <c r="D29" s="19">
        <f>IFERROR(C29/B29,0)</f>
        <v/>
      </c>
      <c r="E29" s="18">
        <f>AVERAGEIFS(Dataset!$I$5:$I$124,Dataset!$D$5:$D$124,A29)</f>
        <v/>
      </c>
      <c r="F29" s="19">
        <f>AVERAGEIFS(Dataset!$J$5:$J$124,Dataset!$D$5:$D$124,A29)</f>
        <v/>
      </c>
      <c r="G29" s="20">
        <f>AVERAGEIFS(Dataset!$K$5:$K$124,Dataset!$D$5:$D$124,A29)</f>
        <v/>
      </c>
      <c r="H29" s="18">
        <f>SUMIFS(Dataset!$L$5:$L$124,Dataset!$D$5:$D$124,A29)</f>
        <v/>
      </c>
    </row>
    <row r="30">
      <c r="A30" s="18" t="inlineStr">
        <is>
          <t>Citizen Services</t>
        </is>
      </c>
      <c r="B30" s="18">
        <f>SUMIFS(Dataset!$F$5:$F$124,Dataset!$D$5:$D$124,A30)</f>
        <v/>
      </c>
      <c r="C30" s="18">
        <f>SUMIFS(Dataset!$G$5:$G$124,Dataset!$D$5:$D$124,A30)</f>
        <v/>
      </c>
      <c r="D30" s="19">
        <f>IFERROR(C30/B30,0)</f>
        <v/>
      </c>
      <c r="E30" s="18">
        <f>AVERAGEIFS(Dataset!$I$5:$I$124,Dataset!$D$5:$D$124,A30)</f>
        <v/>
      </c>
      <c r="F30" s="19">
        <f>AVERAGEIFS(Dataset!$J$5:$J$124,Dataset!$D$5:$D$124,A30)</f>
        <v/>
      </c>
      <c r="G30" s="20">
        <f>AVERAGEIFS(Dataset!$K$5:$K$124,Dataset!$D$5:$D$124,A30)</f>
        <v/>
      </c>
      <c r="H30" s="18">
        <f>SUMIFS(Dataset!$L$5:$L$124,Dataset!$D$5:$D$124,A30)</f>
        <v/>
      </c>
    </row>
    <row r="31">
      <c r="A31" s="18" t="inlineStr">
        <is>
          <t>Licenses</t>
        </is>
      </c>
      <c r="B31" s="18">
        <f>SUMIFS(Dataset!$F$5:$F$124,Dataset!$D$5:$D$124,A31)</f>
        <v/>
      </c>
      <c r="C31" s="18">
        <f>SUMIFS(Dataset!$G$5:$G$124,Dataset!$D$5:$D$124,A31)</f>
        <v/>
      </c>
      <c r="D31" s="19">
        <f>IFERROR(C31/B31,0)</f>
        <v/>
      </c>
      <c r="E31" s="18">
        <f>AVERAGEIFS(Dataset!$I$5:$I$124,Dataset!$D$5:$D$124,A31)</f>
        <v/>
      </c>
      <c r="F31" s="19">
        <f>AVERAGEIFS(Dataset!$J$5:$J$124,Dataset!$D$5:$D$124,A31)</f>
        <v/>
      </c>
      <c r="G31" s="20">
        <f>AVERAGEIFS(Dataset!$K$5:$K$124,Dataset!$D$5:$D$124,A31)</f>
        <v/>
      </c>
      <c r="H31" s="18">
        <f>SUMIFS(Dataset!$L$5:$L$124,Dataset!$D$5:$D$124,A31)</f>
        <v/>
      </c>
    </row>
    <row r="32">
      <c r="A32" s="18" t="inlineStr">
        <is>
          <t>Welfare</t>
        </is>
      </c>
      <c r="B32" s="18">
        <f>SUMIFS(Dataset!$F$5:$F$124,Dataset!$D$5:$D$124,A32)</f>
        <v/>
      </c>
      <c r="C32" s="18">
        <f>SUMIFS(Dataset!$G$5:$G$124,Dataset!$D$5:$D$124,A32)</f>
        <v/>
      </c>
      <c r="D32" s="19">
        <f>IFERROR(C32/B32,0)</f>
        <v/>
      </c>
      <c r="E32" s="18">
        <f>AVERAGEIFS(Dataset!$I$5:$I$124,Dataset!$D$5:$D$124,A32)</f>
        <v/>
      </c>
      <c r="F32" s="19">
        <f>AVERAGEIFS(Dataset!$J$5:$J$124,Dataset!$D$5:$D$124,A32)</f>
        <v/>
      </c>
      <c r="G32" s="20">
        <f>AVERAGEIFS(Dataset!$K$5:$K$124,Dataset!$D$5:$D$124,A32)</f>
        <v/>
      </c>
      <c r="H32" s="18">
        <f>SUMIFS(Dataset!$L$5:$L$124,Dataset!$D$5:$D$124,A32)</f>
        <v/>
      </c>
    </row>
    <row r="38">
      <c r="A38" s="21" t="inlineStr">
        <is>
          <t>Key Analytical Insights</t>
        </is>
      </c>
    </row>
    <row r="39" ht="34" customHeight="1">
      <c r="A39" s="4" t="inlineStr">
        <is>
          <t>• Higher digital adoption is generally associated with stronger citizen-service accessibility and should be monitored alongside satisfaction.</t>
        </is>
      </c>
    </row>
    <row r="40" ht="34" customHeight="1">
      <c r="A40" s="4" t="inlineStr">
        <is>
          <t>• Processing time is a practical operational KPI because longer turnaround can increase citizen complaints and reduce service experience.</t>
        </is>
      </c>
    </row>
    <row r="41" ht="34" customHeight="1">
      <c r="A41" s="4" t="inlineStr">
        <is>
          <t>• Approval rate alone should not be treated as a quality measure; it should be reviewed with processing time, satisfaction and complaints.</t>
        </is>
      </c>
    </row>
    <row r="42" ht="34" customHeight="1">
      <c r="A42" s="4" t="inlineStr">
        <is>
          <t>• State-level comparisons help identify locations that may need process redesign, staff capacity improvements or better digital awareness.</t>
        </is>
      </c>
    </row>
    <row r="43" ht="34" customHeight="1">
      <c r="A43" s="4" t="inlineStr">
        <is>
          <t>• The workbook uses synthetic data for demonstration; conclusions should not be interpreted as official performance claims.</t>
        </is>
      </c>
    </row>
  </sheetData>
  <mergeCells count="8">
    <mergeCell ref="A1:J1"/>
    <mergeCell ref="A43:I43"/>
    <mergeCell ref="A41:I41"/>
    <mergeCell ref="A42:I42"/>
    <mergeCell ref="A2:J2"/>
    <mergeCell ref="A40:I40"/>
    <mergeCell ref="A39:I39"/>
    <mergeCell ref="A38:I38"/>
  </mergeCells>
  <pageMargins left="0.25" right="0.2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E-GOVERNANCE PERFORMANCE DASHBOARD</t>
        </is>
      </c>
    </row>
    <row r="2" ht="30" customHeight="1">
      <c r="A2" s="2" t="inlineStr">
        <is>
          <t>Week 1 | Data Literacy &amp; Analysis Techniques | Synthetic practice dataset | Use the dropdowns to explore the dashboard.</t>
        </is>
      </c>
    </row>
    <row r="4">
      <c r="A4" s="22" t="inlineStr">
        <is>
          <t>State Selector</t>
        </is>
      </c>
      <c r="B4" s="23" t="inlineStr">
        <is>
          <t>All States</t>
        </is>
      </c>
      <c r="D4" s="22" t="inlineStr">
        <is>
          <t>Service Category Selector</t>
        </is>
      </c>
      <c r="E4" s="23" t="inlineStr">
        <is>
          <t>All Categories</t>
        </is>
      </c>
    </row>
    <row r="6" ht="34" customHeight="1">
      <c r="A6" s="24" t="inlineStr">
        <is>
          <t>Total Applications</t>
        </is>
      </c>
      <c r="B6" s="25" t="n"/>
      <c r="C6" s="25" t="n"/>
      <c r="D6" s="24" t="inlineStr">
        <is>
          <t>Approval Rate</t>
        </is>
      </c>
      <c r="E6" s="26" t="n"/>
      <c r="F6" s="25" t="n"/>
      <c r="G6" s="24" t="inlineStr">
        <is>
          <t>Avg Processing Days</t>
        </is>
      </c>
      <c r="H6" s="25" t="n"/>
      <c r="I6" s="25" t="n"/>
      <c r="J6" s="24" t="inlineStr">
        <is>
          <t>Digital Adoption</t>
        </is>
      </c>
      <c r="K6" s="26" t="n"/>
      <c r="L6" s="25" t="n"/>
    </row>
    <row r="9" ht="34" customHeight="1">
      <c r="A9" s="24" t="inlineStr">
        <is>
          <t>Satisfaction</t>
        </is>
      </c>
      <c r="B9" s="27" t="n"/>
      <c r="C9" s="25" t="n"/>
      <c r="D9" s="24" t="inlineStr">
        <is>
          <t>Total Complaints</t>
        </is>
      </c>
      <c r="E9" s="28" t="n"/>
      <c r="F9" s="25" t="n"/>
    </row>
    <row r="42">
      <c r="A42" s="21" t="inlineStr">
        <is>
          <t>MANAGEMENT TAKEAWAYS</t>
        </is>
      </c>
    </row>
    <row r="43" ht="28" customHeight="1">
      <c r="A43" s="29" t="inlineStr">
        <is>
          <t>• Monitor processing time together with citizen satisfaction rather than using approval rate alone.</t>
        </is>
      </c>
    </row>
    <row r="44" ht="28" customHeight="1">
      <c r="A44" s="29" t="inlineStr">
        <is>
          <t>• Digital adoption can be used as an accessibility KPI for digital government services.</t>
        </is>
      </c>
    </row>
    <row r="45" ht="28" customHeight="1">
      <c r="A45" s="29" t="inlineStr">
        <is>
          <t>• State-wise comparison supports identification of stronger-performing regions and areas needing process improvement.</t>
        </is>
      </c>
    </row>
    <row r="46" ht="28" customHeight="1">
      <c r="A46" s="29" t="inlineStr">
        <is>
          <t>• Complaint volume and resolution rate provide a citizen-centric view of service quality.</t>
        </is>
      </c>
    </row>
    <row r="47" ht="28" customHeight="1">
      <c r="A47" s="29" t="inlineStr">
        <is>
          <t>• This workbook is a learning/demo analysis using synthetic data; it does not represent official government performance.</t>
        </is>
      </c>
    </row>
  </sheetData>
  <mergeCells count="20">
    <mergeCell ref="A46:L46"/>
    <mergeCell ref="A6:B6"/>
    <mergeCell ref="D6:E6"/>
    <mergeCell ref="A2:L2"/>
    <mergeCell ref="H6:I6"/>
    <mergeCell ref="A42:L42"/>
    <mergeCell ref="J6:K6"/>
    <mergeCell ref="A47:L47"/>
    <mergeCell ref="G6:H6"/>
    <mergeCell ref="E9:F9"/>
    <mergeCell ref="E6:F6"/>
    <mergeCell ref="A43:L43"/>
    <mergeCell ref="K6:L6"/>
    <mergeCell ref="A44:L44"/>
    <mergeCell ref="B9:C9"/>
    <mergeCell ref="D9:E9"/>
    <mergeCell ref="B6:C6"/>
    <mergeCell ref="A1:L1"/>
    <mergeCell ref="A45:L45"/>
    <mergeCell ref="A9:B9"/>
  </mergeCells>
  <dataValidations count="2">
    <dataValidation sqref="B4" showDropDown="0" showInputMessage="0" showErrorMessage="0" allowBlank="0" type="list">
      <formula1>"All States,Maharashtra,Gujarat,Karnataka,Tamil Nadu,Telangana,Kerala,Rajasthan,Uttar Pradesh,Delhi,West Bengal"</formula1>
    </dataValidation>
    <dataValidation sqref="E4" showDropDown="0" showInputMessage="0" showErrorMessage="0" allowBlank="0" type="list">
      <formula1>"All Categories,Certificates,Citizen Services,Licenses,Welfare"</formula1>
    </dataValidation>
  </dataValidations>
  <pageMargins left="0.25" right="0.25" top="0.5" bottom="0.5" header="0.5" footer="0.5"/>
  <pageSetup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52" customWidth="1" min="3" max="3"/>
    <col width="22" customWidth="1" min="4" max="4"/>
    <col width="25" customWidth="1" min="5" max="5"/>
  </cols>
  <sheetData>
    <row r="1" ht="34" customHeight="1">
      <c r="A1" s="1" t="inlineStr">
        <is>
          <t>Data Dictionary</t>
        </is>
      </c>
    </row>
    <row r="2" ht="30" customHeight="1">
      <c r="A2" s="2" t="inlineStr">
        <is>
          <t>Definitions and expected interpretation of each dataset field.</t>
        </is>
      </c>
    </row>
    <row r="4">
      <c r="A4" s="5" t="inlineStr">
        <is>
          <t>Field</t>
        </is>
      </c>
      <c r="B4" s="5" t="inlineStr">
        <is>
          <t>Data Type</t>
        </is>
      </c>
      <c r="C4" s="5" t="inlineStr">
        <is>
          <t>Description</t>
        </is>
      </c>
      <c r="D4" s="5" t="inlineStr">
        <is>
          <t>Unit / Scale</t>
        </is>
      </c>
      <c r="E4" s="5" t="inlineStr">
        <is>
          <t>Quality Rule</t>
        </is>
      </c>
    </row>
    <row r="5" ht="38" customHeight="1">
      <c r="A5" s="4" t="inlineStr">
        <is>
          <t>Record ID</t>
        </is>
      </c>
      <c r="B5" s="4" t="inlineStr">
        <is>
          <t>Text</t>
        </is>
      </c>
      <c r="C5" s="4" t="inlineStr">
        <is>
          <t>Unique identifier for each monthly service record</t>
        </is>
      </c>
      <c r="D5" s="4" t="inlineStr">
        <is>
          <t>EG-0001 format</t>
        </is>
      </c>
      <c r="E5" s="4" t="inlineStr">
        <is>
          <t>Unique</t>
        </is>
      </c>
    </row>
    <row r="6" ht="38" customHeight="1">
      <c r="A6" s="4" t="inlineStr">
        <is>
          <t>Month</t>
        </is>
      </c>
      <c r="B6" s="4" t="inlineStr">
        <is>
          <t>Date</t>
        </is>
      </c>
      <c r="C6" s="4" t="inlineStr">
        <is>
          <t>Month represented by the observation</t>
        </is>
      </c>
      <c r="D6" s="4" t="inlineStr">
        <is>
          <t>MMM-YY</t>
        </is>
      </c>
      <c r="E6" s="4" t="inlineStr">
        <is>
          <t>Valid Excel date</t>
        </is>
      </c>
    </row>
    <row r="7" ht="38" customHeight="1">
      <c r="A7" s="4" t="inlineStr">
        <is>
          <t>State</t>
        </is>
      </c>
      <c r="B7" s="4" t="inlineStr">
        <is>
          <t>Text</t>
        </is>
      </c>
      <c r="C7" s="4" t="inlineStr">
        <is>
          <t>Indian state/UT represented in the sample</t>
        </is>
      </c>
      <c r="D7" s="4" t="inlineStr">
        <is>
          <t>State name</t>
        </is>
      </c>
      <c r="E7" s="4" t="inlineStr">
        <is>
          <t>Standard label</t>
        </is>
      </c>
    </row>
    <row r="8" ht="38" customHeight="1">
      <c r="A8" s="4" t="inlineStr">
        <is>
          <t>Service Category</t>
        </is>
      </c>
      <c r="B8" s="4" t="inlineStr">
        <is>
          <t>Text</t>
        </is>
      </c>
      <c r="C8" s="4" t="inlineStr">
        <is>
          <t>Broad group of the government service</t>
        </is>
      </c>
      <c r="D8" s="4" t="inlineStr">
        <is>
          <t>Category</t>
        </is>
      </c>
      <c r="E8" s="4" t="inlineStr">
        <is>
          <t>Controlled values</t>
        </is>
      </c>
    </row>
    <row r="9" ht="38" customHeight="1">
      <c r="A9" s="4" t="inlineStr">
        <is>
          <t>Service</t>
        </is>
      </c>
      <c r="B9" s="4" t="inlineStr">
        <is>
          <t>Text</t>
        </is>
      </c>
      <c r="C9" s="4" t="inlineStr">
        <is>
          <t>Specific e-governance service</t>
        </is>
      </c>
      <c r="D9" s="4" t="inlineStr">
        <is>
          <t>Service name</t>
        </is>
      </c>
      <c r="E9" s="4" t="inlineStr">
        <is>
          <t>Controlled values</t>
        </is>
      </c>
    </row>
    <row r="10" ht="38" customHeight="1">
      <c r="A10" s="4" t="inlineStr">
        <is>
          <t>Applications Received</t>
        </is>
      </c>
      <c r="B10" s="4" t="inlineStr">
        <is>
          <t>Integer</t>
        </is>
      </c>
      <c r="C10" s="4" t="inlineStr">
        <is>
          <t>Number of applications received</t>
        </is>
      </c>
      <c r="D10" s="4" t="inlineStr">
        <is>
          <t>Count</t>
        </is>
      </c>
      <c r="E10" s="4" t="inlineStr">
        <is>
          <t>&gt;= 0</t>
        </is>
      </c>
    </row>
    <row r="11" ht="38" customHeight="1">
      <c r="A11" s="4" t="inlineStr">
        <is>
          <t>Applications Approved</t>
        </is>
      </c>
      <c r="B11" s="4" t="inlineStr">
        <is>
          <t>Integer</t>
        </is>
      </c>
      <c r="C11" s="4" t="inlineStr">
        <is>
          <t>Number of applications approved</t>
        </is>
      </c>
      <c r="D11" s="4" t="inlineStr">
        <is>
          <t>Count</t>
        </is>
      </c>
      <c r="E11" s="4" t="inlineStr">
        <is>
          <t>&lt;= received</t>
        </is>
      </c>
    </row>
    <row r="12" ht="38" customHeight="1">
      <c r="A12" s="4" t="inlineStr">
        <is>
          <t>Applications Rejected</t>
        </is>
      </c>
      <c r="B12" s="4" t="inlineStr">
        <is>
          <t>Integer</t>
        </is>
      </c>
      <c r="C12" s="4" t="inlineStr">
        <is>
          <t>Number of applications rejected</t>
        </is>
      </c>
      <c r="D12" s="4" t="inlineStr">
        <is>
          <t>Count</t>
        </is>
      </c>
      <c r="E12" s="4" t="inlineStr">
        <is>
          <t>&gt;= 0</t>
        </is>
      </c>
    </row>
    <row r="13" ht="38" customHeight="1">
      <c r="A13" s="4" t="inlineStr">
        <is>
          <t>Avg Processing Days</t>
        </is>
      </c>
      <c r="B13" s="4" t="inlineStr">
        <is>
          <t>Decimal</t>
        </is>
      </c>
      <c r="C13" s="4" t="inlineStr">
        <is>
          <t>Average time required to process applications</t>
        </is>
      </c>
      <c r="D13" s="4" t="inlineStr">
        <is>
          <t>Days</t>
        </is>
      </c>
      <c r="E13" s="4" t="inlineStr">
        <is>
          <t xml:space="preserve"> &gt; 0</t>
        </is>
      </c>
    </row>
    <row r="14" ht="38" customHeight="1">
      <c r="A14" s="4" t="inlineStr">
        <is>
          <t>Digital Applications (%)</t>
        </is>
      </c>
      <c r="B14" s="4" t="inlineStr">
        <is>
          <t>Decimal</t>
        </is>
      </c>
      <c r="C14" s="4" t="inlineStr">
        <is>
          <t>Share of applications submitted digitally</t>
        </is>
      </c>
      <c r="D14" s="4" t="inlineStr">
        <is>
          <t>Percent</t>
        </is>
      </c>
      <c r="E14" s="4" t="inlineStr">
        <is>
          <t>0–100</t>
        </is>
      </c>
    </row>
    <row r="15" ht="38" customHeight="1">
      <c r="A15" s="4" t="inlineStr">
        <is>
          <t>Satisfaction Score (1-5)</t>
        </is>
      </c>
      <c r="B15" s="4" t="inlineStr">
        <is>
          <t>Decimal</t>
        </is>
      </c>
      <c r="C15" s="4" t="inlineStr">
        <is>
          <t>Citizen satisfaction indicator</t>
        </is>
      </c>
      <c r="D15" s="4" t="inlineStr">
        <is>
          <t>1 to 5</t>
        </is>
      </c>
      <c r="E15" s="4" t="inlineStr">
        <is>
          <t>1–5</t>
        </is>
      </c>
    </row>
    <row r="16" ht="38" customHeight="1">
      <c r="A16" s="4" t="inlineStr">
        <is>
          <t>Complaints</t>
        </is>
      </c>
      <c r="B16" s="4" t="inlineStr">
        <is>
          <t>Integer</t>
        </is>
      </c>
      <c r="C16" s="4" t="inlineStr">
        <is>
          <t>Number of complaints recorded</t>
        </is>
      </c>
      <c r="D16" s="4" t="inlineStr">
        <is>
          <t>Count</t>
        </is>
      </c>
      <c r="E16" s="4" t="inlineStr">
        <is>
          <t>&gt;= 0</t>
        </is>
      </c>
    </row>
    <row r="17" ht="38" customHeight="1">
      <c r="A17" s="4" t="inlineStr">
        <is>
          <t>Complaint Resolution (%)</t>
        </is>
      </c>
      <c r="B17" s="4" t="inlineStr">
        <is>
          <t>Decimal</t>
        </is>
      </c>
      <c r="C17" s="4" t="inlineStr">
        <is>
          <t>Share of complaints resolved</t>
        </is>
      </c>
      <c r="D17" s="4" t="inlineStr">
        <is>
          <t>Percent</t>
        </is>
      </c>
      <c r="E17" s="4" t="inlineStr">
        <is>
          <t>0–100</t>
        </is>
      </c>
    </row>
  </sheetData>
  <mergeCells count="2">
    <mergeCell ref="A2:E2"/>
    <mergeCell ref="A1:E1"/>
  </mergeCells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2026-10-08T16:34:16Z</dcterms:created>
  <dcterms:modified xmlns:dcterms="http://purl.org/dc/terms/" xmlns:xsi="http://www.w3.org/2001/XMLSchema-instance" xsi:type="dcterms:W3CDTF">2026-10-08T16:34:16Z</dcterms:modified>
</cp:coreProperties>
</file>